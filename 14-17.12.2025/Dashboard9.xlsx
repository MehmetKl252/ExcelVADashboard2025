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81E5754-BCCB-46D6-8510-5163249E42A8}" xr6:coauthVersionLast="47" xr6:coauthVersionMax="47" xr10:uidLastSave="{00000000-0000-0000-0000-000000000000}"/>
  <bookViews>
    <workbookView xWindow="-120" yWindow="-120" windowWidth="24240" windowHeight="13140" firstSheet="1" activeTab="3" xr2:uid="{00000000-000D-0000-FFFF-FFFF00000000}"/>
  </bookViews>
  <sheets>
    <sheet name="Puanlama" sheetId="6" state="hidden" r:id="rId1"/>
    <sheet name="Data" sheetId="1" r:id="rId2"/>
    <sheet name="Hesap" sheetId="2" state="hidden" r:id="rId3"/>
    <sheet name="Çalışanlar" sheetId="5" r:id="rId4"/>
    <sheet name="Dashboard" sheetId="3" state="hidden" r:id="rId5"/>
  </sheets>
  <definedNames>
    <definedName name="resim">INDEX(Çalışanlar!$A$2:$A$5,Çalışanlar!$K$1,1)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U6" i="3" l="1"/>
  <c r="H4" i="5"/>
  <c r="F3" i="5"/>
  <c r="F4" i="5"/>
  <c r="F5" i="5"/>
  <c r="F2" i="5"/>
  <c r="E3" i="5"/>
  <c r="E4" i="5"/>
  <c r="E5" i="5"/>
  <c r="E2" i="5"/>
  <c r="D3" i="5"/>
  <c r="D4" i="5"/>
  <c r="D5" i="5"/>
  <c r="D2" i="5"/>
  <c r="L1" i="5"/>
  <c r="F3" i="2"/>
  <c r="K3" i="2"/>
  <c r="J4" i="5" l="1"/>
  <c r="K10" i="2"/>
  <c r="K9" i="2"/>
  <c r="K12" i="2"/>
  <c r="K8" i="2"/>
  <c r="K4" i="2"/>
  <c r="K14" i="2"/>
  <c r="K6" i="2"/>
  <c r="K13" i="2"/>
  <c r="K5" i="2"/>
  <c r="K11" i="2"/>
  <c r="K7" i="2"/>
  <c r="I4" i="5"/>
  <c r="K4" i="5"/>
  <c r="F5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M3" i="2" s="1"/>
  <c r="M13" i="2" l="1"/>
  <c r="M8" i="2"/>
  <c r="N3" i="2"/>
  <c r="M7" i="2"/>
  <c r="M6" i="2"/>
  <c r="M12" i="2"/>
  <c r="O3" i="2"/>
  <c r="M11" i="2"/>
  <c r="M14" i="2"/>
  <c r="M9" i="2"/>
  <c r="M5" i="2"/>
  <c r="M4" i="2"/>
  <c r="M10" i="2"/>
  <c r="N7" i="2"/>
  <c r="O7" i="2"/>
  <c r="N6" i="2"/>
  <c r="O6" i="2"/>
  <c r="O12" i="2"/>
  <c r="N12" i="2"/>
  <c r="N11" i="2"/>
  <c r="O11" i="2"/>
  <c r="O14" i="2"/>
  <c r="N14" i="2"/>
  <c r="N9" i="2"/>
  <c r="O9" i="2"/>
  <c r="N5" i="2"/>
  <c r="O5" i="2"/>
  <c r="O4" i="2"/>
  <c r="N4" i="2"/>
  <c r="N10" i="2"/>
  <c r="O10" i="2"/>
  <c r="N13" i="2"/>
  <c r="O13" i="2"/>
  <c r="N8" i="2"/>
  <c r="O8" i="2"/>
  <c r="G12" i="2"/>
  <c r="H12" i="2" s="1"/>
  <c r="G11" i="2"/>
  <c r="H11" i="2" s="1"/>
  <c r="G13" i="2"/>
  <c r="H13" i="2" s="1"/>
</calcChain>
</file>

<file path=xl/sharedStrings.xml><?xml version="1.0" encoding="utf-8"?>
<sst xmlns="http://schemas.openxmlformats.org/spreadsheetml/2006/main" count="216" uniqueCount="38">
  <si>
    <t>ID</t>
  </si>
  <si>
    <t>Ay</t>
  </si>
  <si>
    <t>Bölge</t>
  </si>
  <si>
    <t>HD</t>
  </si>
  <si>
    <t>Kalite</t>
  </si>
  <si>
    <t>Verimlilik</t>
  </si>
  <si>
    <t>Oca</t>
  </si>
  <si>
    <t>Doğu</t>
  </si>
  <si>
    <t>service Level</t>
  </si>
  <si>
    <t>Batı</t>
  </si>
  <si>
    <t>Hizmet Düzeyi</t>
  </si>
  <si>
    <t>Kuzey</t>
  </si>
  <si>
    <t>Güney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</si>
  <si>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</si>
  <si>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</si>
  <si>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</si>
  <si>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</si>
  <si>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</si>
  <si>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</si>
  <si>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</si>
  <si>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</si>
  <si>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</si>
  <si>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</si>
  <si>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</si>
  <si>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Çalışanlar</t>
  </si>
  <si>
    <t>Emp1</t>
  </si>
  <si>
    <t>Emp2</t>
  </si>
  <si>
    <t>Emp3</t>
  </si>
  <si>
    <t>Emp4</t>
  </si>
  <si>
    <t>Toplam HD</t>
  </si>
  <si>
    <t>Toplam Kalite</t>
  </si>
  <si>
    <t>Toplam Verimlilik</t>
  </si>
  <si>
    <t>Resim</t>
  </si>
  <si>
    <t>Data Sayfası :</t>
  </si>
  <si>
    <t>25 Puan</t>
  </si>
  <si>
    <t>Çalışanlar Sayfası:</t>
  </si>
  <si>
    <t>Dashboard Sayfası :</t>
  </si>
  <si>
    <t>50 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</si>
</sst>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color rgb="FF000000"/>
      <name val="Segoe U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9" fontId="0" fillId="0" borderId="0" xfId="1" applyFont="1"/>
    <xf numFmtId="0" fontId="4" fillId="4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9" fontId="0" fillId="5" borderId="3" xfId="1" applyFont="1" applyFill="1" applyBorder="1"/>
    <xf numFmtId="9" fontId="0" fillId="5" borderId="3" xfId="0" applyNumberFormat="1" applyFill="1" applyBorder="1"/>
    <xf numFmtId="0" fontId="0" fillId="0" borderId="3" xfId="0" applyBorder="1"/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6" borderId="0" xfId="0" applyFill="1"/>
    <xf numFmtId="0" fontId="0" fillId="3" borderId="0" xfId="0" applyFill="1"/>
    <xf numFmtId="9" fontId="0" fillId="0" borderId="3" xfId="1" applyFont="1" applyBorder="1"/>
    <xf numFmtId="0" fontId="5" fillId="6" borderId="0" xfId="0" applyFont="1" applyFill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colors>
    <mruColors>
      <color rgb="FF8238BA"/>
      <color rgb="FFE4C9FF"/>
      <color rgb="FFDEBDFF"/>
      <color rgb="FFD5ABFF"/>
      <color rgb="FFCC99FF"/>
      <color rgb="FFCC66FF"/>
      <color rgb="FF9900FF"/>
      <color rgb="FFF8A6A6"/>
      <color rgb="FFFDE3E3"/>
      <color rgb="FFFA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Çalışanlar!$H$4</c:f>
              <c:strCache>
                <c:ptCount val="1"/>
                <c:pt idx="0">
                  <c:v>Emp3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15875">
              <a:solidFill>
                <a:schemeClr val="tx1"/>
              </a:solidFill>
            </a:ln>
            <a:effectLst>
              <a:innerShdw blurRad="114300">
                <a:prstClr val="black"/>
              </a:innerShdw>
              <a:softEdge rad="1270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5875">
                <a:solidFill>
                  <a:schemeClr val="tx1"/>
                </a:solidFill>
              </a:ln>
              <a:effectLst>
                <a:innerShdw blurRad="114300">
                  <a:prstClr val="black"/>
                </a:inn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2-37B8-47EC-A706-CC753BC7A2CF}"/>
              </c:ext>
            </c:extLst>
          </c:dPt>
          <c:dPt>
            <c:idx val="1"/>
            <c:invertIfNegative val="0"/>
            <c:bubble3D val="0"/>
            <c:spPr>
              <a:solidFill>
                <a:srgbClr val="8238BA"/>
              </a:solidFill>
              <a:ln w="15875">
                <a:solidFill>
                  <a:schemeClr val="tx1"/>
                </a:solidFill>
              </a:ln>
              <a:effectLst>
                <a:innerShdw blurRad="114300">
                  <a:prstClr val="black"/>
                </a:inn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1-37B8-47EC-A706-CC753BC7A2CF}"/>
              </c:ext>
            </c:extLst>
          </c:dPt>
          <c:cat>
            <c:strRef>
              <c:f>Çalışanlar!$I$3:$K$3</c:f>
              <c:strCache>
                <c:ptCount val="3"/>
                <c:pt idx="0">
                  <c:v>Toplam HD</c:v>
                </c:pt>
                <c:pt idx="1">
                  <c:v>Toplam Kalite</c:v>
                </c:pt>
                <c:pt idx="2">
                  <c:v>Toplam Verimlilik</c:v>
                </c:pt>
              </c:strCache>
            </c:strRef>
          </c:cat>
          <c:val>
            <c:numRef>
              <c:f>Çalışanlar!$I$4:$K$4</c:f>
              <c:numCache>
                <c:formatCode>0%</c:formatCode>
                <c:ptCount val="3"/>
                <c:pt idx="0">
                  <c:v>0.53166666666666662</c:v>
                </c:pt>
                <c:pt idx="1">
                  <c:v>0.50666666666666671</c:v>
                </c:pt>
                <c:pt idx="2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8-47EC-A706-CC753BC7A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6626208"/>
        <c:axId val="316627040"/>
      </c:barChart>
      <c:catAx>
        <c:axId val="3166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16627040"/>
        <c:crosses val="autoZero"/>
        <c:auto val="1"/>
        <c:lblAlgn val="ctr"/>
        <c:lblOffset val="100"/>
        <c:noMultiLvlLbl val="0"/>
      </c:catAx>
      <c:valAx>
        <c:axId val="3166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1662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Hesap!$F$11</c:f>
              <c:strCache>
                <c:ptCount val="1"/>
                <c:pt idx="0">
                  <c:v>HD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40000"/>
                  <a:lumOff val="60000"/>
                  <a:alpha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0B-4DA7-840F-3411D4ADD75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0B-4DA7-840F-3411D4ADD753}"/>
              </c:ext>
            </c:extLst>
          </c:dPt>
          <c:val>
            <c:numRef>
              <c:f>Hesap!$G$11:$H$11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0B-4DA7-840F-3411D4AD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75000"/>
      </a:schemeClr>
    </a:soli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Hesap!$F$12</c:f>
              <c:strCache>
                <c:ptCount val="1"/>
                <c:pt idx="0">
                  <c:v>Kalite</c:v>
                </c:pt>
              </c:strCache>
            </c:strRef>
          </c:tx>
          <c:dPt>
            <c:idx val="0"/>
            <c:bubble3D val="0"/>
            <c:spPr>
              <a:solidFill>
                <a:srgbClr val="D5ABFF">
                  <a:alpha val="59000"/>
                </a:srgb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4D-4C16-A5F6-FAB3E619FBA6}"/>
              </c:ext>
            </c:extLst>
          </c:dPt>
          <c:dPt>
            <c:idx val="1"/>
            <c:bubble3D val="0"/>
            <c:spPr>
              <a:solidFill>
                <a:srgbClr val="E4C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4D-4C16-A5F6-FAB3E619FBA6}"/>
              </c:ext>
            </c:extLst>
          </c:dPt>
          <c:val>
            <c:numRef>
              <c:f>Hesap!$G$12:$H$12</c:f>
              <c:numCache>
                <c:formatCode>0%</c:formatCode>
                <c:ptCount val="2"/>
                <c:pt idx="0">
                  <c:v>0.59</c:v>
                </c:pt>
                <c:pt idx="1">
                  <c:v>0.41000000000000003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4D-4C16-A5F6-FAB3E619F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238BA"/>
    </a:soli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Hesap!$F$13</c:f>
              <c:strCache>
                <c:ptCount val="1"/>
                <c:pt idx="0">
                  <c:v>Verimlilik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26-409C-8929-5D8882C04C25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  <a:alpha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26-409C-8929-5D8882C04C25}"/>
              </c:ext>
            </c:extLst>
          </c:dPt>
          <c:val>
            <c:numRef>
              <c:f>Hesap!$G$13:$H$13</c:f>
              <c:numCache>
                <c:formatCode>0%</c:formatCode>
                <c:ptCount val="2"/>
                <c:pt idx="0">
                  <c:v>0.41</c:v>
                </c:pt>
                <c:pt idx="1">
                  <c:v>0.59000000000000008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26-409C-8929-5D8882C0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800">
                <a:solidFill>
                  <a:sysClr val="windowText" lastClr="000000"/>
                </a:solidFill>
              </a:rPr>
              <a:t>Monthly Trends</a:t>
            </a:r>
          </a:p>
        </c:rich>
      </c:tx>
      <c:layout>
        <c:manualLayout>
          <c:xMode val="edge"/>
          <c:yMode val="edge"/>
          <c:x val="0.37625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Hesap!$N$2</c:f>
              <c:strCache>
                <c:ptCount val="1"/>
                <c:pt idx="0">
                  <c:v>Kalite</c:v>
                </c:pt>
              </c:strCache>
            </c:strRef>
          </c:tx>
          <c:spPr>
            <a:solidFill>
              <a:srgbClr val="8238BA"/>
            </a:solidFill>
            <a:ln w="15875"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Hesap!$L$3:$L$14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Hesap!$N$3:$N$14</c:f>
              <c:numCache>
                <c:formatCode>0%</c:formatCode>
                <c:ptCount val="12"/>
                <c:pt idx="0">
                  <c:v>0.59</c:v>
                </c:pt>
                <c:pt idx="1">
                  <c:v>0.49</c:v>
                </c:pt>
                <c:pt idx="2">
                  <c:v>0.45</c:v>
                </c:pt>
                <c:pt idx="3">
                  <c:v>0.67</c:v>
                </c:pt>
                <c:pt idx="4">
                  <c:v>0.66</c:v>
                </c:pt>
                <c:pt idx="5">
                  <c:v>0.7</c:v>
                </c:pt>
                <c:pt idx="6">
                  <c:v>0.33</c:v>
                </c:pt>
                <c:pt idx="7">
                  <c:v>0.39</c:v>
                </c:pt>
                <c:pt idx="8">
                  <c:v>0.36</c:v>
                </c:pt>
                <c:pt idx="9">
                  <c:v>0.38</c:v>
                </c:pt>
                <c:pt idx="10">
                  <c:v>0.38</c:v>
                </c:pt>
                <c:pt idx="11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0-47BF-8D21-29FA822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337968"/>
        <c:axId val="334336304"/>
      </c:areaChart>
      <c:barChart>
        <c:barDir val="col"/>
        <c:grouping val="clustered"/>
        <c:varyColors val="0"/>
        <c:ser>
          <c:idx val="0"/>
          <c:order val="0"/>
          <c:tx>
            <c:strRef>
              <c:f>Hesap!$M$2</c:f>
              <c:strCache>
                <c:ptCount val="1"/>
                <c:pt idx="0">
                  <c:v>HD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15875"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Hesap!$L$3:$L$14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Hesap!$M$3:$M$14</c:f>
              <c:numCache>
                <c:formatCode>0%</c:formatCode>
                <c:ptCount val="12"/>
                <c:pt idx="0">
                  <c:v>0.7</c:v>
                </c:pt>
                <c:pt idx="1">
                  <c:v>0.69</c:v>
                </c:pt>
                <c:pt idx="2">
                  <c:v>0.41</c:v>
                </c:pt>
                <c:pt idx="3">
                  <c:v>0.43</c:v>
                </c:pt>
                <c:pt idx="4">
                  <c:v>0.36</c:v>
                </c:pt>
                <c:pt idx="5">
                  <c:v>0.3</c:v>
                </c:pt>
                <c:pt idx="6">
                  <c:v>0.69</c:v>
                </c:pt>
                <c:pt idx="7">
                  <c:v>0.79</c:v>
                </c:pt>
                <c:pt idx="8">
                  <c:v>0.3</c:v>
                </c:pt>
                <c:pt idx="9">
                  <c:v>0.39</c:v>
                </c:pt>
                <c:pt idx="10">
                  <c:v>0.68</c:v>
                </c:pt>
                <c:pt idx="1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0-47BF-8D21-29FA822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4337968"/>
        <c:axId val="334336304"/>
      </c:barChart>
      <c:lineChart>
        <c:grouping val="standard"/>
        <c:varyColors val="0"/>
        <c:ser>
          <c:idx val="2"/>
          <c:order val="2"/>
          <c:tx>
            <c:strRef>
              <c:f>Hesap!$O$2</c:f>
              <c:strCache>
                <c:ptCount val="1"/>
                <c:pt idx="0">
                  <c:v>Verimlilik</c:v>
                </c:pt>
              </c:strCache>
            </c:strRef>
          </c:tx>
          <c:spPr>
            <a:ln w="50800" cap="sq" cmpd="thinThick">
              <a:solidFill>
                <a:schemeClr val="accent5">
                  <a:lumMod val="75000"/>
                </a:schemeClr>
              </a:solidFill>
              <a:prstDash val="lgDash"/>
              <a:bevel/>
              <a:head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1"/>
              </a:solidFill>
              <a:ln w="12700" cap="sq">
                <a:solidFill>
                  <a:schemeClr val="tx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Hesap!$L$3:$L$14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Hesap!$O$3:$O$14</c:f>
              <c:numCache>
                <c:formatCode>0%</c:formatCode>
                <c:ptCount val="12"/>
                <c:pt idx="0">
                  <c:v>0.41</c:v>
                </c:pt>
                <c:pt idx="1">
                  <c:v>0.33</c:v>
                </c:pt>
                <c:pt idx="2">
                  <c:v>0.42</c:v>
                </c:pt>
                <c:pt idx="3">
                  <c:v>0.43</c:v>
                </c:pt>
                <c:pt idx="4">
                  <c:v>0.6</c:v>
                </c:pt>
                <c:pt idx="5">
                  <c:v>0.49</c:v>
                </c:pt>
                <c:pt idx="6">
                  <c:v>0.67</c:v>
                </c:pt>
                <c:pt idx="7">
                  <c:v>0.79</c:v>
                </c:pt>
                <c:pt idx="8">
                  <c:v>0.3</c:v>
                </c:pt>
                <c:pt idx="9">
                  <c:v>0.77</c:v>
                </c:pt>
                <c:pt idx="10">
                  <c:v>0.69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E0-47BF-8D21-29FA822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337968"/>
        <c:axId val="334336304"/>
      </c:lineChart>
      <c:catAx>
        <c:axId val="3343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4336304"/>
        <c:crosses val="autoZero"/>
        <c:auto val="1"/>
        <c:lblAlgn val="ctr"/>
        <c:lblOffset val="100"/>
        <c:noMultiLvlLbl val="0"/>
      </c:catAx>
      <c:valAx>
        <c:axId val="3343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343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16" fmlaLink="Hesap!$G$3" fmlaRange="Hesap!$A$2:$A$13" noThreeD="1" sel="1" val="0"/>
</file>

<file path=xl/ctrlProps/ctrlProp2.xml><?xml version="1.0" encoding="utf-8"?>
<formControlPr xmlns="http://schemas.microsoft.com/office/spreadsheetml/2009/9/main" objectType="Radio" checked="Checked" firstButton="1" fmlaLink="Hesap!$G$2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Drop" dropStyle="combo" dx="16" fmlaLink="Çalışanlar!$K$1" fmlaRange="Çalışanlar!$B$2:$B$5" noThreeD="1" sel="3" val="0"/>
</file>

<file path=xl/ctrlProps/ctrlProp7.xml><?xml version="1.0" encoding="utf-8"?>
<formControlPr xmlns="http://schemas.microsoft.com/office/spreadsheetml/2009/9/main" objectType="CheckBox" checked="Checked" fmlaLink="Hesap!$M$1" lockText="1" noThreeD="1"/>
</file>

<file path=xl/ctrlProps/ctrlProp8.xml><?xml version="1.0" encoding="utf-8"?>
<formControlPr xmlns="http://schemas.microsoft.com/office/spreadsheetml/2009/9/main" objectType="CheckBox" checked="Checked" fmlaLink="Hesap!$N$1" lockText="1" noThreeD="1"/>
</file>

<file path=xl/ctrlProps/ctrlProp9.xml><?xml version="1.0" encoding="utf-8"?>
<formControlPr xmlns="http://schemas.microsoft.com/office/spreadsheetml/2009/9/main" objectType="CheckBox" checked="Checked" fmlaLink="Hesap!$O$1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68294</xdr:colOff>
      <xdr:row>4</xdr:row>
      <xdr:rowOff>38100</xdr:rowOff>
    </xdr:from>
    <xdr:to>
      <xdr:col>0</xdr:col>
      <xdr:colOff>964480</xdr:colOff>
      <xdr:row>4</xdr:row>
      <xdr:rowOff>938100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" y="40767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67658</xdr:colOff>
      <xdr:row>3</xdr:row>
      <xdr:rowOff>42050</xdr:rowOff>
    </xdr:from>
    <xdr:to>
      <xdr:col>0</xdr:col>
      <xdr:colOff>963844</xdr:colOff>
      <xdr:row>3</xdr:row>
      <xdr:rowOff>942050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8" y="30710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67023</xdr:colOff>
      <xdr:row>2</xdr:row>
      <xdr:rowOff>46000</xdr:rowOff>
    </xdr:from>
    <xdr:to>
      <xdr:col>0</xdr:col>
      <xdr:colOff>963209</xdr:colOff>
      <xdr:row>2</xdr:row>
      <xdr:rowOff>946000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23" y="20653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70201</xdr:colOff>
      <xdr:row>1</xdr:row>
      <xdr:rowOff>49950</xdr:rowOff>
    </xdr:from>
    <xdr:to>
      <xdr:col>0</xdr:col>
      <xdr:colOff>962574</xdr:colOff>
      <xdr:row>1</xdr:row>
      <xdr:rowOff>949950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1" y="1059600"/>
          <a:ext cx="892373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25</xdr:col>
      <xdr:colOff>47625</xdr:colOff>
      <xdr:row>4</xdr:row>
      <xdr:rowOff>9525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7150" y="19050"/>
          <a:ext cx="15230475" cy="7524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3600" b="1">
              <a:latin typeface="+mj-lt"/>
            </a:rPr>
            <a:t>Bölgesel Gösterge Tablosu - 2018</a:t>
          </a:r>
        </a:p>
      </xdr:txBody>
    </xdr:sp>
    <xdr:clientData/>
  </xdr:twoCellAnchor>
  <xdr:twoCellAnchor>
    <xdr:from>
      <xdr:col>0</xdr:col>
      <xdr:colOff>95250</xdr:colOff>
      <xdr:row>4</xdr:row>
      <xdr:rowOff>2</xdr:rowOff>
    </xdr:from>
    <xdr:to>
      <xdr:col>2</xdr:col>
      <xdr:colOff>476249</xdr:colOff>
      <xdr:row>14</xdr:row>
      <xdr:rowOff>142876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5250" y="762002"/>
          <a:ext cx="1600199" cy="204787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85725</xdr:colOff>
          <xdr:row>2</xdr:row>
          <xdr:rowOff>38100</xdr:rowOff>
        </xdr:from>
        <xdr:to>
          <xdr:col>24</xdr:col>
          <xdr:colOff>76200</xdr:colOff>
          <xdr:row>3</xdr:row>
          <xdr:rowOff>123825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523875</xdr:colOff>
          <xdr:row>6</xdr:row>
          <xdr:rowOff>76200</xdr:rowOff>
        </xdr:from>
        <xdr:to>
          <xdr:col>2</xdr:col>
          <xdr:colOff>238125</xdr:colOff>
          <xdr:row>14</xdr:row>
          <xdr:rowOff>47625</xdr:rowOff>
        </xdr:to>
        <xdr:grpSp>
          <xdr:nvGrpSpPr>
            <xdr:cNvPr id="2" name="Grup 1" title="Bölge Seçiniz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pSpPr/>
          </xdr:nvGrpSpPr>
          <xdr:grpSpPr>
            <a:xfrm>
              <a:off x="523875" y="1266825"/>
              <a:ext cx="933450" cy="1495425"/>
              <a:chOff x="619125" y="390525"/>
              <a:chExt cx="619125" cy="1333500"/>
            </a:xfrm>
            <a:solidFill>
              <a:schemeClr val="tx1">
                <a:lumMod val="50000"/>
                <a:lumOff val="50000"/>
              </a:schemeClr>
            </a:solidFill>
          </xdr:grpSpPr>
          <xdr:sp macro="" textlink="">
            <xdr:nvSpPr>
              <xdr:cNvPr id="3074" name="Option Button 2" hidden="1">
                <a:extLst>
                  <a:ext uri="{63B3BB69-23CF-44E3-9099-C40C66FF867C}">
                    <a14:compatExt spid="_x0000_s3074"/>
                  </a:ext>
                  <a:ext uri="{FF2B5EF4-FFF2-40B4-BE49-F238E27FC236}">
                    <a16:creationId xmlns:a16="http://schemas.microsoft.com/office/drawing/2014/main" id="{00000000-0008-0000-0400-0000020C0000}"/>
                  </a:ext>
                </a:extLst>
              </xdr:cNvPr>
              <xdr:cNvSpPr/>
            </xdr:nvSpPr>
            <xdr:spPr bwMode="auto">
              <a:xfrm>
                <a:off x="619125" y="390525"/>
                <a:ext cx="619125" cy="171450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Doğu</a:t>
                </a:r>
              </a:p>
            </xdr:txBody>
          </xdr:sp>
          <xdr:sp macro="" textlink="">
            <xdr:nvSpPr>
              <xdr:cNvPr id="3075" name="Option Button 3" hidden="1">
                <a:extLst>
                  <a:ext uri="{63B3BB69-23CF-44E3-9099-C40C66FF867C}">
                    <a14:compatExt spid="_x0000_s3075"/>
                  </a:ext>
                  <a:ext uri="{FF2B5EF4-FFF2-40B4-BE49-F238E27FC236}">
                    <a16:creationId xmlns:a16="http://schemas.microsoft.com/office/drawing/2014/main" id="{00000000-0008-0000-0400-0000030C0000}"/>
                  </a:ext>
                </a:extLst>
              </xdr:cNvPr>
              <xdr:cNvSpPr/>
            </xdr:nvSpPr>
            <xdr:spPr bwMode="auto">
              <a:xfrm>
                <a:off x="628650" y="762000"/>
                <a:ext cx="600075" cy="190500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Batı</a:t>
                </a:r>
              </a:p>
            </xdr:txBody>
          </xdr:sp>
          <xdr:sp macro="" textlink="">
            <xdr:nvSpPr>
              <xdr:cNvPr id="3076" name="Option Button 4" hidden="1">
                <a:extLst>
                  <a:ext uri="{63B3BB69-23CF-44E3-9099-C40C66FF867C}">
                    <a14:compatExt spid="_x0000_s3076"/>
                  </a:ext>
                  <a:ext uri="{FF2B5EF4-FFF2-40B4-BE49-F238E27FC236}">
                    <a16:creationId xmlns:a16="http://schemas.microsoft.com/office/drawing/2014/main" id="{00000000-0008-0000-0400-0000040C0000}"/>
                  </a:ext>
                </a:extLst>
              </xdr:cNvPr>
              <xdr:cNvSpPr/>
            </xdr:nvSpPr>
            <xdr:spPr bwMode="auto">
              <a:xfrm>
                <a:off x="619125" y="1152525"/>
                <a:ext cx="600075" cy="190500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Kuzey</a:t>
                </a:r>
              </a:p>
            </xdr:txBody>
          </xdr:sp>
          <xdr:sp macro="" textlink="">
            <xdr:nvSpPr>
              <xdr:cNvPr id="3077" name="Option Button 5" hidden="1">
                <a:extLst>
                  <a:ext uri="{63B3BB69-23CF-44E3-9099-C40C66FF867C}">
                    <a14:compatExt spid="_x0000_s3077"/>
                  </a:ext>
                  <a:ext uri="{FF2B5EF4-FFF2-40B4-BE49-F238E27FC236}">
                    <a16:creationId xmlns:a16="http://schemas.microsoft.com/office/drawing/2014/main" id="{00000000-0008-0000-0400-0000050C0000}"/>
                  </a:ext>
                </a:extLst>
              </xdr:cNvPr>
              <xdr:cNvSpPr/>
            </xdr:nvSpPr>
            <xdr:spPr bwMode="auto">
              <a:xfrm>
                <a:off x="619125" y="1533525"/>
                <a:ext cx="609600" cy="190500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Güney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0</xdr:col>
      <xdr:colOff>104775</xdr:colOff>
      <xdr:row>4</xdr:row>
      <xdr:rowOff>1</xdr:rowOff>
    </xdr:from>
    <xdr:to>
      <xdr:col>2</xdr:col>
      <xdr:colOff>466724</xdr:colOff>
      <xdr:row>5</xdr:row>
      <xdr:rowOff>152401</xdr:rowOff>
    </xdr:to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04775" y="762001"/>
          <a:ext cx="1581149" cy="3429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600" b="1"/>
            <a:t>Bölge Seçiniz</a:t>
          </a:r>
        </a:p>
        <a:p>
          <a:endParaRPr lang="tr-TR" sz="1100"/>
        </a:p>
      </xdr:txBody>
    </xdr:sp>
    <xdr:clientData/>
  </xdr:twoCellAnchor>
  <xdr:twoCellAnchor>
    <xdr:from>
      <xdr:col>16</xdr:col>
      <xdr:colOff>533400</xdr:colOff>
      <xdr:row>11</xdr:row>
      <xdr:rowOff>190499</xdr:rowOff>
    </xdr:from>
    <xdr:to>
      <xdr:col>24</xdr:col>
      <xdr:colOff>180975</xdr:colOff>
      <xdr:row>35</xdr:row>
      <xdr:rowOff>38100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4</xdr:row>
      <xdr:rowOff>47625</xdr:rowOff>
    </xdr:from>
    <xdr:to>
      <xdr:col>16</xdr:col>
      <xdr:colOff>323850</xdr:colOff>
      <xdr:row>17</xdr:row>
      <xdr:rowOff>76200</xdr:rowOff>
    </xdr:to>
    <xdr:grpSp>
      <xdr:nvGrpSpPr>
        <xdr:cNvPr id="15" name="Grup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/>
      </xdr:nvGrpSpPr>
      <xdr:grpSpPr>
        <a:xfrm>
          <a:off x="1895475" y="809625"/>
          <a:ext cx="8181975" cy="2552700"/>
          <a:chOff x="6457950" y="766762"/>
          <a:chExt cx="7036798" cy="2880000"/>
        </a:xfrm>
      </xdr:grpSpPr>
      <xdr:graphicFrame macro="">
        <xdr:nvGraphicFramePr>
          <xdr:cNvPr id="16" name="Grafik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GraphicFramePr/>
        </xdr:nvGraphicFramePr>
        <xdr:xfrm>
          <a:off x="6457950" y="776286"/>
          <a:ext cx="2160000" cy="28622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Grafik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GraphicFramePr/>
        </xdr:nvGraphicFramePr>
        <xdr:xfrm>
          <a:off x="8896350" y="766762"/>
          <a:ext cx="2160000" cy="288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8" name="Grafik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GraphicFramePr/>
        </xdr:nvGraphicFramePr>
        <xdr:xfrm>
          <a:off x="11334748" y="776286"/>
          <a:ext cx="2160000" cy="28527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4</xdr:col>
      <xdr:colOff>19051</xdr:colOff>
      <xdr:row>8</xdr:row>
      <xdr:rowOff>57150</xdr:rowOff>
    </xdr:from>
    <xdr:to>
      <xdr:col>6</xdr:col>
      <xdr:colOff>190501</xdr:colOff>
      <xdr:row>15</xdr:row>
      <xdr:rowOff>57150</xdr:rowOff>
    </xdr:to>
    <xdr:sp macro="" textlink="Hesap!G11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57451" y="1581150"/>
          <a:ext cx="1390650" cy="13335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03C3EF9-3D2A-432C-B711-676D4764DC0F}" type="TxLink">
            <a:rPr lang="en-US" sz="28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70%</a:t>
          </a:fld>
          <a:endParaRPr lang="tr-TR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419100</xdr:colOff>
      <xdr:row>8</xdr:row>
      <xdr:rowOff>38100</xdr:rowOff>
    </xdr:from>
    <xdr:to>
      <xdr:col>10</xdr:col>
      <xdr:colOff>590550</xdr:colOff>
      <xdr:row>15</xdr:row>
      <xdr:rowOff>95251</xdr:rowOff>
    </xdr:to>
    <xdr:sp macro="" textlink="Hesap!G12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295900" y="1562100"/>
          <a:ext cx="1390650" cy="1390651"/>
        </a:xfrm>
        <a:prstGeom prst="ellipse">
          <a:avLst/>
        </a:prstGeom>
        <a:solidFill>
          <a:srgbClr val="8238B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7962BC2-57E8-4A3B-97FC-A22A2134BF51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59%</a:t>
          </a:fld>
          <a:endParaRPr lang="tr-TR" sz="2800" b="1"/>
        </a:p>
      </xdr:txBody>
    </xdr:sp>
    <xdr:clientData/>
  </xdr:twoCellAnchor>
  <xdr:twoCellAnchor>
    <xdr:from>
      <xdr:col>13</xdr:col>
      <xdr:colOff>200026</xdr:colOff>
      <xdr:row>8</xdr:row>
      <xdr:rowOff>47625</xdr:rowOff>
    </xdr:from>
    <xdr:to>
      <xdr:col>15</xdr:col>
      <xdr:colOff>371476</xdr:colOff>
      <xdr:row>15</xdr:row>
      <xdr:rowOff>85725</xdr:rowOff>
    </xdr:to>
    <xdr:sp macro="" textlink="Hesap!G13">
      <xdr:nvSpPr>
        <xdr:cNvPr id="21" name="Oval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124826" y="1571625"/>
          <a:ext cx="1390650" cy="13716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63A18B4-8DEA-4446-B891-5449AE9CE451}" type="TxLink">
            <a:rPr lang="en-US" sz="28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41%</a:t>
          </a:fld>
          <a:endParaRPr lang="tr-TR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38100</xdr:colOff>
      <xdr:row>18</xdr:row>
      <xdr:rowOff>180974</xdr:rowOff>
    </xdr:from>
    <xdr:to>
      <xdr:col>16</xdr:col>
      <xdr:colOff>295275</xdr:colOff>
      <xdr:row>35</xdr:row>
      <xdr:rowOff>0</xdr:rowOff>
    </xdr:to>
    <xdr:graphicFrame macro="">
      <xdr:nvGraphicFramePr>
        <xdr:cNvPr id="23" name="Grafik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</xdr:colOff>
      <xdr:row>15</xdr:row>
      <xdr:rowOff>76200</xdr:rowOff>
    </xdr:from>
    <xdr:to>
      <xdr:col>2</xdr:col>
      <xdr:colOff>466725</xdr:colOff>
      <xdr:row>19</xdr:row>
      <xdr:rowOff>123825</xdr:rowOff>
    </xdr:to>
    <xdr:sp macro="" textlink="">
      <xdr:nvSpPr>
        <xdr:cNvPr id="28" name="Dikdörtge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5250" y="2933700"/>
          <a:ext cx="1590675" cy="8096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95250</xdr:colOff>
      <xdr:row>20</xdr:row>
      <xdr:rowOff>161926</xdr:rowOff>
    </xdr:from>
    <xdr:to>
      <xdr:col>2</xdr:col>
      <xdr:colOff>466725</xdr:colOff>
      <xdr:row>29</xdr:row>
      <xdr:rowOff>57150</xdr:rowOff>
    </xdr:to>
    <xdr:sp macro="" textlink="">
      <xdr:nvSpPr>
        <xdr:cNvPr id="29" name="Dikdörtge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5250" y="4019551"/>
          <a:ext cx="1590675" cy="160972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17</xdr:row>
          <xdr:rowOff>114300</xdr:rowOff>
        </xdr:from>
        <xdr:to>
          <xdr:col>2</xdr:col>
          <xdr:colOff>409575</xdr:colOff>
          <xdr:row>18</xdr:row>
          <xdr:rowOff>180975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95250</xdr:colOff>
      <xdr:row>15</xdr:row>
      <xdr:rowOff>76200</xdr:rowOff>
    </xdr:from>
    <xdr:to>
      <xdr:col>2</xdr:col>
      <xdr:colOff>457199</xdr:colOff>
      <xdr:row>17</xdr:row>
      <xdr:rowOff>38100</xdr:rowOff>
    </xdr:to>
    <xdr:sp macro="" textlink="">
      <xdr:nvSpPr>
        <xdr:cNvPr id="31" name="Metin kutusu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95250" y="2933700"/>
          <a:ext cx="1581149" cy="3429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600" b="1"/>
            <a:t>Ay Seçiniz</a:t>
          </a:r>
        </a:p>
        <a:p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533400</xdr:colOff>
          <xdr:row>23</xdr:row>
          <xdr:rowOff>76200</xdr:rowOff>
        </xdr:from>
        <xdr:to>
          <xdr:col>2</xdr:col>
          <xdr:colOff>219075</xdr:colOff>
          <xdr:row>28</xdr:row>
          <xdr:rowOff>76201</xdr:rowOff>
        </xdr:to>
        <xdr:grpSp>
          <xdr:nvGrpSpPr>
            <xdr:cNvPr id="24" name="Grup 23">
              <a:extLst>
                <a:ext uri="{FF2B5EF4-FFF2-40B4-BE49-F238E27FC236}">
                  <a16:creationId xmlns:a16="http://schemas.microsoft.com/office/drawing/2014/main" id="{00000000-0008-0000-0400-000018000000}"/>
                </a:ext>
              </a:extLst>
            </xdr:cNvPr>
            <xdr:cNvGrpSpPr/>
          </xdr:nvGrpSpPr>
          <xdr:grpSpPr>
            <a:xfrm>
              <a:off x="533400" y="4505325"/>
              <a:ext cx="904875" cy="952501"/>
              <a:chOff x="11325212" y="1533524"/>
              <a:chExt cx="1219200" cy="952501"/>
            </a:xfrm>
          </xdr:grpSpPr>
          <xdr:sp macro="" textlink="">
            <xdr:nvSpPr>
              <xdr:cNvPr id="3079" name="Check Box 7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00000000-0008-0000-0400-0000070C0000}"/>
                  </a:ext>
                </a:extLst>
              </xdr:cNvPr>
              <xdr:cNvSpPr/>
            </xdr:nvSpPr>
            <xdr:spPr bwMode="auto">
              <a:xfrm>
                <a:off x="11325224" y="1533524"/>
                <a:ext cx="1209675" cy="200026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HD</a:t>
                </a:r>
              </a:p>
            </xdr:txBody>
          </xdr:sp>
          <xdr:sp macro="" textlink="">
            <xdr:nvSpPr>
              <xdr:cNvPr id="3080" name="Check Box 8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00000000-0008-0000-0400-0000080C0000}"/>
                  </a:ext>
                </a:extLst>
              </xdr:cNvPr>
              <xdr:cNvSpPr/>
            </xdr:nvSpPr>
            <xdr:spPr bwMode="auto">
              <a:xfrm>
                <a:off x="11325224" y="1924051"/>
                <a:ext cx="1209675" cy="180974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Kalite</a:t>
                </a:r>
              </a:p>
            </xdr:txBody>
          </xdr:sp>
          <xdr:sp macro="" textlink="">
            <xdr:nvSpPr>
              <xdr:cNvPr id="3081" name="Check Box 9" hidden="1">
                <a:extLst>
                  <a:ext uri="{63B3BB69-23CF-44E3-9099-C40C66FF867C}">
                    <a14:compatExt spid="_x0000_s3081"/>
                  </a:ext>
                  <a:ext uri="{FF2B5EF4-FFF2-40B4-BE49-F238E27FC236}">
                    <a16:creationId xmlns:a16="http://schemas.microsoft.com/office/drawing/2014/main" id="{00000000-0008-0000-0400-0000090C0000}"/>
                  </a:ext>
                </a:extLst>
              </xdr:cNvPr>
              <xdr:cNvSpPr/>
            </xdr:nvSpPr>
            <xdr:spPr bwMode="auto">
              <a:xfrm>
                <a:off x="11325212" y="2305050"/>
                <a:ext cx="1219200" cy="180975"/>
              </a:xfrm>
              <a:prstGeom prst="rect">
                <a:avLst/>
              </a:prstGeom>
              <a:solidFill>
                <a:srgbClr val="E7E6E6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Verimlilik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0</xdr:col>
      <xdr:colOff>95250</xdr:colOff>
      <xdr:row>20</xdr:row>
      <xdr:rowOff>161925</xdr:rowOff>
    </xdr:from>
    <xdr:to>
      <xdr:col>2</xdr:col>
      <xdr:colOff>457199</xdr:colOff>
      <xdr:row>22</xdr:row>
      <xdr:rowOff>123825</xdr:rowOff>
    </xdr:to>
    <xdr:sp macro="" textlink="">
      <xdr:nvSpPr>
        <xdr:cNvPr id="32" name="Metin kutusu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95250" y="3971925"/>
          <a:ext cx="1581149" cy="3429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600" b="1"/>
            <a:t>Grafik</a:t>
          </a:r>
          <a:r>
            <a:rPr lang="tr-TR" sz="1600" b="1" baseline="0"/>
            <a:t> Ölçümleri</a:t>
          </a:r>
          <a:endParaRPr lang="tr-TR" sz="1600" b="1"/>
        </a:p>
        <a:p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66676</xdr:colOff>
          <xdr:row>4</xdr:row>
          <xdr:rowOff>38100</xdr:rowOff>
        </xdr:from>
        <xdr:to>
          <xdr:col>24</xdr:col>
          <xdr:colOff>104776</xdr:colOff>
          <xdr:row>10</xdr:row>
          <xdr:rowOff>59467</xdr:rowOff>
        </xdr:to>
        <xdr:pic>
          <xdr:nvPicPr>
            <xdr:cNvPr id="33" name="Resim 32">
              <a:extLst>
                <a:ext uri="{FF2B5EF4-FFF2-40B4-BE49-F238E27FC236}">
                  <a16:creationId xmlns:a16="http://schemas.microsoft.com/office/drawing/2014/main" id="{00000000-0008-0000-0400-000021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resim" spid="_x0000_s3092"/>
                </a:ext>
              </a:extLst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477876" y="800100"/>
              <a:ext cx="1257300" cy="1211992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workbookViewId="0">
      <selection activeCell="C6" sqref="C6"/>
    </sheetView>
  </sheetViews>
  <sheetFormatPr defaultRowHeight="15" x14ac:dyDescent="0.25"/>
  <cols>
    <col min="2" max="2" width="20.140625" customWidth="1"/>
  </cols>
  <sheetData>
    <row r="3" spans="2:3" x14ac:dyDescent="0.25">
      <c r="B3" t="s">
        <v>33</v>
      </c>
      <c r="C3" t="s">
        <v>34</v>
      </c>
    </row>
    <row r="4" spans="2:3" x14ac:dyDescent="0.25">
      <c r="B4" t="s">
        <v>35</v>
      </c>
      <c r="C4" t="s">
        <v>34</v>
      </c>
    </row>
    <row r="5" spans="2:3" x14ac:dyDescent="0.25">
      <c r="B5" t="s">
        <v>36</v>
      </c>
      <c r="C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9.5703125" customWidth="1"/>
    <col min="2" max="6" width="15.7109375" customWidth="1"/>
    <col min="7" max="7" width="9.5703125" bestFit="1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24</v>
      </c>
    </row>
    <row r="2" spans="1:9" ht="15" customHeight="1" x14ac:dyDescent="0.25">
      <c r="A2" s="2" t="str">
        <f>B2&amp;C2</f>
        <v>OcaDoğu</v>
      </c>
      <c r="B2" s="2" t="s">
        <v>6</v>
      </c>
      <c r="C2" s="2" t="s">
        <v>7</v>
      </c>
      <c r="D2" s="3">
        <v>0.7</v>
      </c>
      <c r="E2" s="3">
        <v>0.59</v>
      </c>
      <c r="F2" s="3">
        <v>0.41</v>
      </c>
      <c r="G2" s="3" t="s">
        <v>25</v>
      </c>
      <c r="H2" t="s">
        <v>8</v>
      </c>
    </row>
    <row r="3" spans="1:9" ht="15" customHeight="1" x14ac:dyDescent="0.25">
      <c r="A3" s="2" t="str">
        <f t="shared" ref="A3:A17" si="0">B3&amp;C3</f>
        <v>OcaBatı</v>
      </c>
      <c r="B3" s="2" t="s">
        <v>6</v>
      </c>
      <c r="C3" s="2" t="s">
        <v>9</v>
      </c>
      <c r="D3" s="3">
        <v>0.43</v>
      </c>
      <c r="E3" s="3">
        <v>0.57999999999999996</v>
      </c>
      <c r="F3" s="3">
        <v>0.78</v>
      </c>
      <c r="G3" s="3" t="s">
        <v>26</v>
      </c>
      <c r="H3" t="s">
        <v>3</v>
      </c>
      <c r="I3" t="s">
        <v>10</v>
      </c>
    </row>
    <row r="4" spans="1:9" ht="15" customHeight="1" x14ac:dyDescent="0.25">
      <c r="A4" s="2" t="str">
        <f t="shared" si="0"/>
        <v>OcaKuzey</v>
      </c>
      <c r="B4" s="2" t="s">
        <v>6</v>
      </c>
      <c r="C4" s="2" t="s">
        <v>11</v>
      </c>
      <c r="D4" s="3">
        <v>0.62</v>
      </c>
      <c r="E4" s="3">
        <v>0.65</v>
      </c>
      <c r="F4" s="3">
        <v>0.54</v>
      </c>
      <c r="G4" s="3" t="s">
        <v>27</v>
      </c>
    </row>
    <row r="5" spans="1:9" ht="15" customHeight="1" x14ac:dyDescent="0.25">
      <c r="A5" s="2" t="str">
        <f t="shared" si="0"/>
        <v>OcaGüney</v>
      </c>
      <c r="B5" s="2" t="s">
        <v>6</v>
      </c>
      <c r="C5" s="2" t="s">
        <v>12</v>
      </c>
      <c r="D5" s="3">
        <v>0.79</v>
      </c>
      <c r="E5" s="3">
        <v>0.49</v>
      </c>
      <c r="F5" s="3">
        <v>0.62</v>
      </c>
      <c r="G5" s="3" t="s">
        <v>28</v>
      </c>
    </row>
    <row r="6" spans="1:9" ht="15" customHeight="1" x14ac:dyDescent="0.25">
      <c r="A6" s="2" t="str">
        <f t="shared" si="0"/>
        <v>ŞubDoğu</v>
      </c>
      <c r="B6" s="2" t="s">
        <v>13</v>
      </c>
      <c r="C6" s="2" t="s">
        <v>7</v>
      </c>
      <c r="D6" s="3">
        <v>0.69</v>
      </c>
      <c r="E6" s="3">
        <v>0.49</v>
      </c>
      <c r="F6" s="3">
        <v>0.33</v>
      </c>
      <c r="G6" s="3" t="s">
        <v>25</v>
      </c>
    </row>
    <row r="7" spans="1:9" ht="15" customHeight="1" x14ac:dyDescent="0.25">
      <c r="A7" s="2" t="str">
        <f t="shared" si="0"/>
        <v>ŞubBatı</v>
      </c>
      <c r="B7" s="2" t="s">
        <v>13</v>
      </c>
      <c r="C7" s="2" t="s">
        <v>9</v>
      </c>
      <c r="D7" s="3">
        <v>0.37</v>
      </c>
      <c r="E7" s="3">
        <v>0.54</v>
      </c>
      <c r="F7" s="3">
        <v>0.47</v>
      </c>
      <c r="G7" s="3" t="s">
        <v>26</v>
      </c>
    </row>
    <row r="8" spans="1:9" ht="15" customHeight="1" x14ac:dyDescent="0.25">
      <c r="A8" s="2" t="str">
        <f t="shared" si="0"/>
        <v>ŞubKuzey</v>
      </c>
      <c r="B8" s="2" t="s">
        <v>13</v>
      </c>
      <c r="C8" s="2" t="s">
        <v>11</v>
      </c>
      <c r="D8" s="3">
        <v>0.7</v>
      </c>
      <c r="E8" s="3">
        <v>0.31</v>
      </c>
      <c r="F8" s="3">
        <v>0.59</v>
      </c>
      <c r="G8" s="3" t="s">
        <v>27</v>
      </c>
    </row>
    <row r="9" spans="1:9" ht="15" customHeight="1" x14ac:dyDescent="0.25">
      <c r="A9" s="2" t="str">
        <f t="shared" si="0"/>
        <v>ŞubGüney</v>
      </c>
      <c r="B9" s="2" t="s">
        <v>13</v>
      </c>
      <c r="C9" s="2" t="s">
        <v>12</v>
      </c>
      <c r="D9" s="3">
        <v>0.68</v>
      </c>
      <c r="E9" s="3">
        <v>0.3</v>
      </c>
      <c r="F9" s="3">
        <v>0.41</v>
      </c>
      <c r="G9" s="3" t="s">
        <v>28</v>
      </c>
    </row>
    <row r="10" spans="1:9" ht="15" customHeight="1" x14ac:dyDescent="0.25">
      <c r="A10" s="2" t="str">
        <f t="shared" si="0"/>
        <v>MarDoğu</v>
      </c>
      <c r="B10" s="2" t="s">
        <v>14</v>
      </c>
      <c r="C10" s="2" t="s">
        <v>7</v>
      </c>
      <c r="D10" s="3">
        <v>0.41</v>
      </c>
      <c r="E10" s="3">
        <v>0.45</v>
      </c>
      <c r="F10" s="3">
        <v>0.42</v>
      </c>
      <c r="G10" s="3" t="s">
        <v>25</v>
      </c>
    </row>
    <row r="11" spans="1:9" ht="15" customHeight="1" x14ac:dyDescent="0.25">
      <c r="A11" s="2" t="str">
        <f t="shared" si="0"/>
        <v>MarBatı</v>
      </c>
      <c r="B11" s="2" t="s">
        <v>14</v>
      </c>
      <c r="C11" s="2" t="s">
        <v>9</v>
      </c>
      <c r="D11" s="3">
        <v>0.39</v>
      </c>
      <c r="E11" s="3">
        <v>0.38</v>
      </c>
      <c r="F11" s="3">
        <v>0.77</v>
      </c>
      <c r="G11" s="3" t="s">
        <v>26</v>
      </c>
    </row>
    <row r="12" spans="1:9" ht="15" customHeight="1" x14ac:dyDescent="0.25">
      <c r="A12" s="2" t="str">
        <f t="shared" si="0"/>
        <v>MarKuzey</v>
      </c>
      <c r="B12" s="2" t="s">
        <v>14</v>
      </c>
      <c r="C12" s="2" t="s">
        <v>11</v>
      </c>
      <c r="D12" s="3">
        <v>0.77</v>
      </c>
      <c r="E12" s="3">
        <v>0.4</v>
      </c>
      <c r="F12" s="3">
        <v>0.5</v>
      </c>
      <c r="G12" s="3" t="s">
        <v>27</v>
      </c>
    </row>
    <row r="13" spans="1:9" ht="15" customHeight="1" x14ac:dyDescent="0.25">
      <c r="A13" s="2" t="str">
        <f t="shared" si="0"/>
        <v>MarGüney</v>
      </c>
      <c r="B13" s="2" t="s">
        <v>14</v>
      </c>
      <c r="C13" s="2" t="s">
        <v>12</v>
      </c>
      <c r="D13" s="3">
        <v>0.64</v>
      </c>
      <c r="E13" s="3">
        <v>0.34</v>
      </c>
      <c r="F13" s="3">
        <v>0.77</v>
      </c>
      <c r="G13" s="3" t="s">
        <v>28</v>
      </c>
    </row>
    <row r="14" spans="1:9" ht="15" customHeight="1" x14ac:dyDescent="0.25">
      <c r="A14" s="2" t="str">
        <f t="shared" si="0"/>
        <v>NisDoğu</v>
      </c>
      <c r="B14" s="2" t="s">
        <v>15</v>
      </c>
      <c r="C14" s="2" t="s">
        <v>7</v>
      </c>
      <c r="D14" s="3">
        <v>0.43</v>
      </c>
      <c r="E14" s="3">
        <v>0.67</v>
      </c>
      <c r="F14" s="3">
        <v>0.43</v>
      </c>
      <c r="G14" s="3" t="s">
        <v>25</v>
      </c>
    </row>
    <row r="15" spans="1:9" ht="15" customHeight="1" x14ac:dyDescent="0.25">
      <c r="A15" s="2" t="str">
        <f t="shared" si="0"/>
        <v>NisBatı</v>
      </c>
      <c r="B15" s="2" t="s">
        <v>15</v>
      </c>
      <c r="C15" s="2" t="s">
        <v>9</v>
      </c>
      <c r="D15" s="3">
        <v>0.75</v>
      </c>
      <c r="E15" s="3">
        <v>0.43</v>
      </c>
      <c r="F15" s="3">
        <v>0.51</v>
      </c>
      <c r="G15" s="3" t="s">
        <v>26</v>
      </c>
    </row>
    <row r="16" spans="1:9" ht="15" customHeight="1" x14ac:dyDescent="0.25">
      <c r="A16" s="2" t="str">
        <f t="shared" si="0"/>
        <v>NisKuzey</v>
      </c>
      <c r="B16" s="2" t="s">
        <v>15</v>
      </c>
      <c r="C16" s="2" t="s">
        <v>11</v>
      </c>
      <c r="D16" s="3">
        <v>0.36</v>
      </c>
      <c r="E16" s="3">
        <v>0.73</v>
      </c>
      <c r="F16" s="3">
        <v>0.63</v>
      </c>
      <c r="G16" s="3" t="s">
        <v>27</v>
      </c>
    </row>
    <row r="17" spans="1:7" ht="15" customHeight="1" x14ac:dyDescent="0.25">
      <c r="A17" s="2" t="str">
        <f t="shared" si="0"/>
        <v>NisGüney</v>
      </c>
      <c r="B17" s="2" t="s">
        <v>15</v>
      </c>
      <c r="C17" s="2" t="s">
        <v>12</v>
      </c>
      <c r="D17" s="3">
        <v>0.34</v>
      </c>
      <c r="E17" s="3">
        <v>0.68</v>
      </c>
      <c r="F17" s="3">
        <v>0.74</v>
      </c>
      <c r="G17" s="3" t="s">
        <v>28</v>
      </c>
    </row>
    <row r="18" spans="1:7" ht="15" customHeight="1" x14ac:dyDescent="0.25">
      <c r="A18" s="2" t="str">
        <f>B18&amp;C18</f>
        <v>MayDoğu</v>
      </c>
      <c r="B18" s="2" t="s">
        <v>16</v>
      </c>
      <c r="C18" s="2" t="s">
        <v>7</v>
      </c>
      <c r="D18" s="3">
        <v>0.36</v>
      </c>
      <c r="E18" s="3">
        <v>0.66</v>
      </c>
      <c r="F18" s="3">
        <v>0.6</v>
      </c>
      <c r="G18" s="3" t="s">
        <v>25</v>
      </c>
    </row>
    <row r="19" spans="1:7" ht="15" customHeight="1" x14ac:dyDescent="0.25">
      <c r="A19" s="2" t="str">
        <f t="shared" ref="A19:A49" si="1">B19&amp;C19</f>
        <v>MayBatı</v>
      </c>
      <c r="B19" s="2" t="s">
        <v>16</v>
      </c>
      <c r="C19" s="2" t="s">
        <v>9</v>
      </c>
      <c r="D19" s="3">
        <v>0.69</v>
      </c>
      <c r="E19" s="3">
        <v>0.67</v>
      </c>
      <c r="F19" s="3">
        <v>0.78</v>
      </c>
      <c r="G19" s="3" t="s">
        <v>26</v>
      </c>
    </row>
    <row r="20" spans="1:7" ht="15" customHeight="1" x14ac:dyDescent="0.25">
      <c r="A20" s="2" t="str">
        <f t="shared" si="1"/>
        <v>MayKuzey</v>
      </c>
      <c r="B20" s="2" t="s">
        <v>16</v>
      </c>
      <c r="C20" s="2" t="s">
        <v>11</v>
      </c>
      <c r="D20" s="3">
        <v>0.53</v>
      </c>
      <c r="E20" s="3">
        <v>0.4</v>
      </c>
      <c r="F20" s="3">
        <v>0.52</v>
      </c>
      <c r="G20" s="3" t="s">
        <v>27</v>
      </c>
    </row>
    <row r="21" spans="1:7" ht="15" customHeight="1" x14ac:dyDescent="0.25">
      <c r="A21" s="2" t="str">
        <f t="shared" si="1"/>
        <v>MayGüney</v>
      </c>
      <c r="B21" s="2" t="s">
        <v>16</v>
      </c>
      <c r="C21" s="2" t="s">
        <v>12</v>
      </c>
      <c r="D21" s="3">
        <v>0.72</v>
      </c>
      <c r="E21" s="3">
        <v>0.46</v>
      </c>
      <c r="F21" s="3">
        <v>0.56999999999999995</v>
      </c>
      <c r="G21" s="3" t="s">
        <v>28</v>
      </c>
    </row>
    <row r="22" spans="1:7" ht="15" customHeight="1" x14ac:dyDescent="0.25">
      <c r="A22" s="2" t="str">
        <f t="shared" si="1"/>
        <v>HazDoğu</v>
      </c>
      <c r="B22" s="2" t="s">
        <v>17</v>
      </c>
      <c r="C22" s="2" t="s">
        <v>7</v>
      </c>
      <c r="D22" s="3">
        <v>0.3</v>
      </c>
      <c r="E22" s="3">
        <v>0.7</v>
      </c>
      <c r="F22" s="3">
        <v>0.49</v>
      </c>
      <c r="G22" s="3" t="s">
        <v>25</v>
      </c>
    </row>
    <row r="23" spans="1:7" ht="15" customHeight="1" x14ac:dyDescent="0.25">
      <c r="A23" s="2" t="str">
        <f t="shared" si="1"/>
        <v>HazBatı</v>
      </c>
      <c r="B23" s="2" t="s">
        <v>17</v>
      </c>
      <c r="C23" s="2" t="s">
        <v>9</v>
      </c>
      <c r="D23" s="3">
        <v>0.76</v>
      </c>
      <c r="E23" s="3">
        <v>0.73</v>
      </c>
      <c r="F23" s="3">
        <v>0.63</v>
      </c>
      <c r="G23" s="3" t="s">
        <v>26</v>
      </c>
    </row>
    <row r="24" spans="1:7" ht="15" customHeight="1" x14ac:dyDescent="0.25">
      <c r="A24" s="2" t="str">
        <f t="shared" si="1"/>
        <v>HazKuzey</v>
      </c>
      <c r="B24" s="2" t="s">
        <v>17</v>
      </c>
      <c r="C24" s="2" t="s">
        <v>11</v>
      </c>
      <c r="D24" s="3">
        <v>0.7</v>
      </c>
      <c r="E24" s="3">
        <v>0.68</v>
      </c>
      <c r="F24" s="3">
        <v>0.75</v>
      </c>
      <c r="G24" s="3" t="s">
        <v>27</v>
      </c>
    </row>
    <row r="25" spans="1:7" ht="15" customHeight="1" x14ac:dyDescent="0.25">
      <c r="A25" s="2" t="str">
        <f t="shared" si="1"/>
        <v>HazGüney</v>
      </c>
      <c r="B25" s="2" t="s">
        <v>17</v>
      </c>
      <c r="C25" s="2" t="s">
        <v>12</v>
      </c>
      <c r="D25" s="3">
        <v>0.47</v>
      </c>
      <c r="E25" s="3">
        <v>0.77</v>
      </c>
      <c r="F25" s="3">
        <v>0.53</v>
      </c>
      <c r="G25" s="3" t="s">
        <v>28</v>
      </c>
    </row>
    <row r="26" spans="1:7" ht="15" customHeight="1" x14ac:dyDescent="0.25">
      <c r="A26" s="2" t="str">
        <f t="shared" si="1"/>
        <v>TemDoğu</v>
      </c>
      <c r="B26" s="2" t="s">
        <v>18</v>
      </c>
      <c r="C26" s="2" t="s">
        <v>7</v>
      </c>
      <c r="D26" s="3">
        <v>0.69</v>
      </c>
      <c r="E26" s="3">
        <v>0.33</v>
      </c>
      <c r="F26" s="3">
        <v>0.67</v>
      </c>
      <c r="G26" s="3" t="s">
        <v>25</v>
      </c>
    </row>
    <row r="27" spans="1:7" ht="15" customHeight="1" x14ac:dyDescent="0.25">
      <c r="A27" s="2" t="str">
        <f t="shared" si="1"/>
        <v>TemBatı</v>
      </c>
      <c r="B27" s="2" t="s">
        <v>18</v>
      </c>
      <c r="C27" s="2" t="s">
        <v>9</v>
      </c>
      <c r="D27" s="3">
        <v>0.54</v>
      </c>
      <c r="E27" s="3">
        <v>0.41</v>
      </c>
      <c r="F27" s="3">
        <v>0.42</v>
      </c>
      <c r="G27" s="3" t="s">
        <v>26</v>
      </c>
    </row>
    <row r="28" spans="1:7" ht="15" customHeight="1" x14ac:dyDescent="0.25">
      <c r="A28" s="2" t="str">
        <f t="shared" si="1"/>
        <v>TemKuzey</v>
      </c>
      <c r="B28" s="2" t="s">
        <v>18</v>
      </c>
      <c r="C28" s="2" t="s">
        <v>11</v>
      </c>
      <c r="D28" s="3">
        <v>0.44</v>
      </c>
      <c r="E28" s="3">
        <v>0.31</v>
      </c>
      <c r="F28" s="3">
        <v>0.34</v>
      </c>
      <c r="G28" s="3" t="s">
        <v>27</v>
      </c>
    </row>
    <row r="29" spans="1:7" ht="15" customHeight="1" x14ac:dyDescent="0.25">
      <c r="A29" s="2" t="str">
        <f t="shared" si="1"/>
        <v>TemGüney</v>
      </c>
      <c r="B29" s="2" t="s">
        <v>18</v>
      </c>
      <c r="C29" s="2" t="s">
        <v>12</v>
      </c>
      <c r="D29" s="3">
        <v>0.45</v>
      </c>
      <c r="E29" s="3">
        <v>0.6</v>
      </c>
      <c r="F29" s="3">
        <v>0.46</v>
      </c>
      <c r="G29" s="3" t="s">
        <v>28</v>
      </c>
    </row>
    <row r="30" spans="1:7" ht="15" customHeight="1" x14ac:dyDescent="0.25">
      <c r="A30" s="2" t="str">
        <f t="shared" si="1"/>
        <v>AğuDoğu</v>
      </c>
      <c r="B30" s="2" t="s">
        <v>19</v>
      </c>
      <c r="C30" s="2" t="s">
        <v>7</v>
      </c>
      <c r="D30" s="3">
        <v>0.79</v>
      </c>
      <c r="E30" s="3">
        <v>0.39</v>
      </c>
      <c r="F30" s="3">
        <v>0.79</v>
      </c>
      <c r="G30" s="3" t="s">
        <v>25</v>
      </c>
    </row>
    <row r="31" spans="1:7" ht="15" customHeight="1" x14ac:dyDescent="0.25">
      <c r="A31" s="2" t="str">
        <f t="shared" si="1"/>
        <v>AğuBatı</v>
      </c>
      <c r="B31" s="2" t="s">
        <v>19</v>
      </c>
      <c r="C31" s="2" t="s">
        <v>9</v>
      </c>
      <c r="D31" s="3">
        <v>0.74</v>
      </c>
      <c r="E31" s="3">
        <v>0.51</v>
      </c>
      <c r="F31" s="3">
        <v>0.65</v>
      </c>
      <c r="G31" s="3" t="s">
        <v>26</v>
      </c>
    </row>
    <row r="32" spans="1:7" ht="15" customHeight="1" x14ac:dyDescent="0.25">
      <c r="A32" s="2" t="str">
        <f t="shared" si="1"/>
        <v>AğuKuzey</v>
      </c>
      <c r="B32" s="2" t="s">
        <v>19</v>
      </c>
      <c r="C32" s="2" t="s">
        <v>11</v>
      </c>
      <c r="D32" s="3">
        <v>0.47</v>
      </c>
      <c r="E32" s="3">
        <v>0.53</v>
      </c>
      <c r="F32" s="3">
        <v>0.74</v>
      </c>
      <c r="G32" s="3" t="s">
        <v>27</v>
      </c>
    </row>
    <row r="33" spans="1:7" ht="15" customHeight="1" x14ac:dyDescent="0.25">
      <c r="A33" s="2" t="str">
        <f t="shared" si="1"/>
        <v>AğuGüney</v>
      </c>
      <c r="B33" s="2" t="s">
        <v>19</v>
      </c>
      <c r="C33" s="2" t="s">
        <v>12</v>
      </c>
      <c r="D33" s="3">
        <v>0.31</v>
      </c>
      <c r="E33" s="3">
        <v>0.54</v>
      </c>
      <c r="F33" s="3">
        <v>0.32</v>
      </c>
      <c r="G33" s="3" t="s">
        <v>28</v>
      </c>
    </row>
    <row r="34" spans="1:7" ht="15" customHeight="1" x14ac:dyDescent="0.25">
      <c r="A34" s="2" t="str">
        <f t="shared" si="1"/>
        <v>EylDoğu</v>
      </c>
      <c r="B34" s="2" t="s">
        <v>20</v>
      </c>
      <c r="C34" s="2" t="s">
        <v>7</v>
      </c>
      <c r="D34" s="3">
        <v>0.3</v>
      </c>
      <c r="E34" s="3">
        <v>0.36</v>
      </c>
      <c r="F34" s="3">
        <v>0.3</v>
      </c>
      <c r="G34" s="3" t="s">
        <v>25</v>
      </c>
    </row>
    <row r="35" spans="1:7" ht="15" customHeight="1" x14ac:dyDescent="0.25">
      <c r="A35" s="2" t="str">
        <f t="shared" si="1"/>
        <v>EylBatı</v>
      </c>
      <c r="B35" s="2" t="s">
        <v>20</v>
      </c>
      <c r="C35" s="2" t="s">
        <v>9</v>
      </c>
      <c r="D35" s="3">
        <v>0.53</v>
      </c>
      <c r="E35" s="3">
        <v>0.79</v>
      </c>
      <c r="F35" s="3">
        <v>0.52</v>
      </c>
      <c r="G35" s="3" t="s">
        <v>26</v>
      </c>
    </row>
    <row r="36" spans="1:7" ht="15" customHeight="1" x14ac:dyDescent="0.25">
      <c r="A36" s="2" t="str">
        <f t="shared" si="1"/>
        <v>EylKuzey</v>
      </c>
      <c r="B36" s="2" t="s">
        <v>20</v>
      </c>
      <c r="C36" s="2" t="s">
        <v>11</v>
      </c>
      <c r="D36" s="3">
        <v>0.42</v>
      </c>
      <c r="E36" s="3">
        <v>0.49</v>
      </c>
      <c r="F36" s="3">
        <v>0.71</v>
      </c>
      <c r="G36" s="3" t="s">
        <v>27</v>
      </c>
    </row>
    <row r="37" spans="1:7" ht="15" customHeight="1" x14ac:dyDescent="0.25">
      <c r="A37" s="2" t="str">
        <f t="shared" si="1"/>
        <v>EylGüney</v>
      </c>
      <c r="B37" s="2" t="s">
        <v>20</v>
      </c>
      <c r="C37" s="2" t="s">
        <v>12</v>
      </c>
      <c r="D37" s="3">
        <v>0.76</v>
      </c>
      <c r="E37" s="3">
        <v>0.74</v>
      </c>
      <c r="F37" s="3">
        <v>0.59</v>
      </c>
      <c r="G37" s="3" t="s">
        <v>28</v>
      </c>
    </row>
    <row r="38" spans="1:7" ht="15" customHeight="1" x14ac:dyDescent="0.25">
      <c r="A38" s="2" t="str">
        <f t="shared" si="1"/>
        <v>EkiDoğu</v>
      </c>
      <c r="B38" s="2" t="s">
        <v>21</v>
      </c>
      <c r="C38" s="2" t="s">
        <v>7</v>
      </c>
      <c r="D38" s="3">
        <v>0.39</v>
      </c>
      <c r="E38" s="3">
        <v>0.38</v>
      </c>
      <c r="F38" s="3">
        <v>0.77</v>
      </c>
      <c r="G38" s="3" t="s">
        <v>25</v>
      </c>
    </row>
    <row r="39" spans="1:7" ht="15" customHeight="1" x14ac:dyDescent="0.25">
      <c r="A39" s="2" t="str">
        <f t="shared" si="1"/>
        <v>EkiBatı</v>
      </c>
      <c r="B39" s="2" t="s">
        <v>21</v>
      </c>
      <c r="C39" s="2" t="s">
        <v>9</v>
      </c>
      <c r="D39" s="3">
        <v>0.51</v>
      </c>
      <c r="E39" s="3">
        <v>0.78</v>
      </c>
      <c r="F39" s="3">
        <v>0.52</v>
      </c>
      <c r="G39" s="3" t="s">
        <v>26</v>
      </c>
    </row>
    <row r="40" spans="1:7" ht="15" customHeight="1" x14ac:dyDescent="0.25">
      <c r="A40" s="2" t="str">
        <f t="shared" si="1"/>
        <v>EkiKuzey</v>
      </c>
      <c r="B40" s="2" t="s">
        <v>21</v>
      </c>
      <c r="C40" s="2" t="s">
        <v>11</v>
      </c>
      <c r="D40" s="3">
        <v>0.42</v>
      </c>
      <c r="E40" s="3">
        <v>0.66</v>
      </c>
      <c r="F40" s="3">
        <v>0.38</v>
      </c>
      <c r="G40" s="3" t="s">
        <v>27</v>
      </c>
    </row>
    <row r="41" spans="1:7" ht="15" customHeight="1" x14ac:dyDescent="0.25">
      <c r="A41" s="2" t="str">
        <f t="shared" si="1"/>
        <v>EkiGüney</v>
      </c>
      <c r="B41" s="2" t="s">
        <v>21</v>
      </c>
      <c r="C41" s="2" t="s">
        <v>12</v>
      </c>
      <c r="D41" s="3">
        <v>0.42</v>
      </c>
      <c r="E41" s="3">
        <v>0.65</v>
      </c>
      <c r="F41" s="3">
        <v>0.54</v>
      </c>
      <c r="G41" s="3" t="s">
        <v>28</v>
      </c>
    </row>
    <row r="42" spans="1:7" ht="15" customHeight="1" x14ac:dyDescent="0.25">
      <c r="A42" s="2" t="str">
        <f t="shared" si="1"/>
        <v>KasDoğu</v>
      </c>
      <c r="B42" s="2" t="s">
        <v>22</v>
      </c>
      <c r="C42" s="2" t="s">
        <v>7</v>
      </c>
      <c r="D42" s="3">
        <v>0.68</v>
      </c>
      <c r="E42" s="3">
        <v>0.38</v>
      </c>
      <c r="F42" s="3">
        <v>0.69</v>
      </c>
      <c r="G42" s="3" t="s">
        <v>25</v>
      </c>
    </row>
    <row r="43" spans="1:7" ht="15" customHeight="1" x14ac:dyDescent="0.25">
      <c r="A43" s="2" t="str">
        <f t="shared" si="1"/>
        <v>KasBatı</v>
      </c>
      <c r="B43" s="2" t="s">
        <v>22</v>
      </c>
      <c r="C43" s="2" t="s">
        <v>9</v>
      </c>
      <c r="D43" s="3">
        <v>0.5</v>
      </c>
      <c r="E43" s="3">
        <v>0.64</v>
      </c>
      <c r="F43" s="3">
        <v>0.55000000000000004</v>
      </c>
      <c r="G43" s="3" t="s">
        <v>26</v>
      </c>
    </row>
    <row r="44" spans="1:7" ht="15" customHeight="1" x14ac:dyDescent="0.25">
      <c r="A44" s="2" t="str">
        <f t="shared" si="1"/>
        <v>KasKuzey</v>
      </c>
      <c r="B44" s="2" t="s">
        <v>22</v>
      </c>
      <c r="C44" s="2" t="s">
        <v>11</v>
      </c>
      <c r="D44" s="3">
        <v>0.36</v>
      </c>
      <c r="E44" s="3">
        <v>0.49</v>
      </c>
      <c r="F44" s="3">
        <v>0.51</v>
      </c>
      <c r="G44" s="3" t="s">
        <v>27</v>
      </c>
    </row>
    <row r="45" spans="1:7" ht="15" customHeight="1" x14ac:dyDescent="0.25">
      <c r="A45" s="2" t="str">
        <f t="shared" si="1"/>
        <v>KasGüney</v>
      </c>
      <c r="B45" s="2" t="s">
        <v>22</v>
      </c>
      <c r="C45" s="2" t="s">
        <v>12</v>
      </c>
      <c r="D45" s="3">
        <v>0.37</v>
      </c>
      <c r="E45" s="3">
        <v>0.37</v>
      </c>
      <c r="F45" s="3">
        <v>0.54</v>
      </c>
      <c r="G45" s="3" t="s">
        <v>28</v>
      </c>
    </row>
    <row r="46" spans="1:7" ht="15" customHeight="1" x14ac:dyDescent="0.25">
      <c r="A46" s="2" t="str">
        <f t="shared" si="1"/>
        <v>AraDoğu</v>
      </c>
      <c r="B46" s="2" t="s">
        <v>23</v>
      </c>
      <c r="C46" s="2" t="s">
        <v>7</v>
      </c>
      <c r="D46" s="3">
        <v>0.56000000000000005</v>
      </c>
      <c r="E46" s="3">
        <v>0.73</v>
      </c>
      <c r="F46" s="3">
        <v>0.78</v>
      </c>
      <c r="G46" s="3" t="s">
        <v>25</v>
      </c>
    </row>
    <row r="47" spans="1:7" ht="15" customHeight="1" x14ac:dyDescent="0.25">
      <c r="A47" s="2" t="str">
        <f t="shared" si="1"/>
        <v>AraBatı</v>
      </c>
      <c r="B47" s="2" t="s">
        <v>23</v>
      </c>
      <c r="C47" s="2" t="s">
        <v>9</v>
      </c>
      <c r="D47" s="3">
        <v>0.49</v>
      </c>
      <c r="E47" s="3">
        <v>0.55000000000000004</v>
      </c>
      <c r="F47" s="3">
        <v>0.65</v>
      </c>
      <c r="G47" s="3" t="s">
        <v>26</v>
      </c>
    </row>
    <row r="48" spans="1:7" ht="15" customHeight="1" x14ac:dyDescent="0.25">
      <c r="A48" s="2" t="str">
        <f t="shared" si="1"/>
        <v>AraKuzey</v>
      </c>
      <c r="B48" s="2" t="s">
        <v>23</v>
      </c>
      <c r="C48" s="2" t="s">
        <v>11</v>
      </c>
      <c r="D48" s="3">
        <v>0.59</v>
      </c>
      <c r="E48" s="3">
        <v>0.43</v>
      </c>
      <c r="F48" s="3">
        <v>0.63</v>
      </c>
      <c r="G48" s="3" t="s">
        <v>27</v>
      </c>
    </row>
    <row r="49" spans="1:7" ht="15" customHeight="1" x14ac:dyDescent="0.25">
      <c r="A49" s="2" t="str">
        <f t="shared" si="1"/>
        <v>AraGüney</v>
      </c>
      <c r="B49" s="2" t="s">
        <v>23</v>
      </c>
      <c r="C49" s="2" t="s">
        <v>12</v>
      </c>
      <c r="D49" s="3">
        <v>0.45</v>
      </c>
      <c r="E49" s="3">
        <v>0.37</v>
      </c>
      <c r="F49" s="3">
        <v>0.39</v>
      </c>
      <c r="G49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O14" sqref="O14"/>
    </sheetView>
  </sheetViews>
  <sheetFormatPr defaultRowHeight="15" x14ac:dyDescent="0.25"/>
  <cols>
    <col min="1" max="2" width="15.7109375" customWidth="1"/>
    <col min="6" max="6" width="10.42578125" bestFit="1" customWidth="1"/>
  </cols>
  <sheetData>
    <row r="1" spans="1:15" x14ac:dyDescent="0.25">
      <c r="A1" s="1" t="s">
        <v>1</v>
      </c>
      <c r="B1" s="1" t="s">
        <v>2</v>
      </c>
      <c r="M1" t="b">
        <v>1</v>
      </c>
      <c r="N1" t="b">
        <v>1</v>
      </c>
      <c r="O1" t="b">
        <v>1</v>
      </c>
    </row>
    <row r="2" spans="1:15" x14ac:dyDescent="0.25">
      <c r="A2" s="2" t="s">
        <v>6</v>
      </c>
      <c r="B2" s="2" t="s">
        <v>7</v>
      </c>
      <c r="F2" t="str">
        <f>INDEX(B2:B5,G2,1)</f>
        <v>Doğu</v>
      </c>
      <c r="G2">
        <v>1</v>
      </c>
      <c r="K2" s="1" t="s">
        <v>0</v>
      </c>
      <c r="L2" s="1" t="s">
        <v>1</v>
      </c>
      <c r="M2" s="1" t="s">
        <v>3</v>
      </c>
      <c r="N2" s="1" t="s">
        <v>4</v>
      </c>
      <c r="O2" s="1" t="s">
        <v>5</v>
      </c>
    </row>
    <row r="3" spans="1:15" x14ac:dyDescent="0.25">
      <c r="A3" s="2" t="s">
        <v>13</v>
      </c>
      <c r="B3" s="2" t="s">
        <v>9</v>
      </c>
      <c r="F3" t="str">
        <f>INDEX(A2:A13,G3,1)</f>
        <v>Oca</v>
      </c>
      <c r="G3">
        <v>1</v>
      </c>
      <c r="K3" t="str">
        <f>L3&amp;$F$2</f>
        <v>OcaDoğu</v>
      </c>
      <c r="L3" s="2" t="s">
        <v>6</v>
      </c>
      <c r="M3" s="5">
        <f>IF($M$1,VLOOKUP(K3,Data!$A:$G,4,0),NA())</f>
        <v>0.7</v>
      </c>
      <c r="N3" s="5">
        <f>IF($N$1,VLOOKUP(K3,Data!$A:$G,5,0),NA())</f>
        <v>0.59</v>
      </c>
      <c r="O3" s="5">
        <f>IF($O$1,VLOOKUP(K3,Data!$A:$G,6,0),NA())</f>
        <v>0.41</v>
      </c>
    </row>
    <row r="4" spans="1:15" x14ac:dyDescent="0.25">
      <c r="A4" s="2" t="s">
        <v>14</v>
      </c>
      <c r="B4" s="2" t="s">
        <v>11</v>
      </c>
      <c r="K4" t="str">
        <f t="shared" ref="K4:K14" si="0">L4&amp;$F$2</f>
        <v>ŞubDoğu</v>
      </c>
      <c r="L4" s="2" t="s">
        <v>13</v>
      </c>
      <c r="M4" s="5">
        <f>IF($M$1,VLOOKUP(K4,Data!$A:$G,4,0),NA())</f>
        <v>0.69</v>
      </c>
      <c r="N4" s="5">
        <f>IF($N$1,VLOOKUP(K4,Data!$A:$G,5,0),NA())</f>
        <v>0.49</v>
      </c>
      <c r="O4" s="5">
        <f>IF($O$1,VLOOKUP(K4,Data!$A:$G,6,0),NA())</f>
        <v>0.33</v>
      </c>
    </row>
    <row r="5" spans="1:15" ht="15.75" x14ac:dyDescent="0.25">
      <c r="A5" s="2" t="s">
        <v>15</v>
      </c>
      <c r="B5" s="2" t="s">
        <v>12</v>
      </c>
      <c r="E5" s="6" t="s">
        <v>0</v>
      </c>
      <c r="F5" s="6" t="str">
        <f>F3&amp;F2</f>
        <v>OcaDoğu</v>
      </c>
      <c r="K5" t="str">
        <f t="shared" si="0"/>
        <v>MarDoğu</v>
      </c>
      <c r="L5" s="2" t="s">
        <v>14</v>
      </c>
      <c r="M5" s="5">
        <f>IF($M$1,VLOOKUP(K5,Data!$A:$G,4,0),NA())</f>
        <v>0.41</v>
      </c>
      <c r="N5" s="5">
        <f>IF($N$1,VLOOKUP(K5,Data!$A:$G,5,0),NA())</f>
        <v>0.45</v>
      </c>
      <c r="O5" s="5">
        <f>IF($O$1,VLOOKUP(K5,Data!$A:$G,6,0),NA())</f>
        <v>0.42</v>
      </c>
    </row>
    <row r="6" spans="1:15" x14ac:dyDescent="0.25">
      <c r="A6" s="2" t="s">
        <v>16</v>
      </c>
      <c r="K6" t="str">
        <f t="shared" si="0"/>
        <v>NisDoğu</v>
      </c>
      <c r="L6" s="2" t="s">
        <v>15</v>
      </c>
      <c r="M6" s="5">
        <f>IF($M$1,VLOOKUP(K6,Data!$A:$G,4,0),NA())</f>
        <v>0.43</v>
      </c>
      <c r="N6" s="5">
        <f>IF($N$1,VLOOKUP(K6,Data!$A:$G,5,0),NA())</f>
        <v>0.67</v>
      </c>
      <c r="O6" s="5">
        <f>IF($O$1,VLOOKUP(K6,Data!$A:$G,6,0),NA())</f>
        <v>0.43</v>
      </c>
    </row>
    <row r="7" spans="1:15" x14ac:dyDescent="0.25">
      <c r="A7" s="2" t="s">
        <v>17</v>
      </c>
      <c r="K7" t="str">
        <f t="shared" si="0"/>
        <v>MayDoğu</v>
      </c>
      <c r="L7" s="2" t="s">
        <v>16</v>
      </c>
      <c r="M7" s="5">
        <f>IF($M$1,VLOOKUP(K7,Data!$A:$G,4,0),NA())</f>
        <v>0.36</v>
      </c>
      <c r="N7" s="5">
        <f>IF($N$1,VLOOKUP(K7,Data!$A:$G,5,0),NA())</f>
        <v>0.66</v>
      </c>
      <c r="O7" s="5">
        <f>IF($O$1,VLOOKUP(K7,Data!$A:$G,6,0),NA())</f>
        <v>0.6</v>
      </c>
    </row>
    <row r="8" spans="1:15" x14ac:dyDescent="0.25">
      <c r="A8" s="2" t="s">
        <v>18</v>
      </c>
      <c r="K8" t="str">
        <f t="shared" si="0"/>
        <v>HazDoğu</v>
      </c>
      <c r="L8" s="2" t="s">
        <v>17</v>
      </c>
      <c r="M8" s="5">
        <f>IF($M$1,VLOOKUP(K8,Data!$A:$G,4,0),NA())</f>
        <v>0.3</v>
      </c>
      <c r="N8" s="5">
        <f>IF($N$1,VLOOKUP(K8,Data!$A:$G,5,0),NA())</f>
        <v>0.7</v>
      </c>
      <c r="O8" s="5">
        <f>IF($O$1,VLOOKUP(K8,Data!$A:$G,6,0),NA())</f>
        <v>0.49</v>
      </c>
    </row>
    <row r="9" spans="1:15" x14ac:dyDescent="0.25">
      <c r="A9" s="2" t="s">
        <v>19</v>
      </c>
      <c r="K9" t="str">
        <f t="shared" si="0"/>
        <v>TemDoğu</v>
      </c>
      <c r="L9" s="2" t="s">
        <v>18</v>
      </c>
      <c r="M9" s="5">
        <f>IF($M$1,VLOOKUP(K9,Data!$A:$G,4,0),NA())</f>
        <v>0.69</v>
      </c>
      <c r="N9" s="5">
        <f>IF($N$1,VLOOKUP(K9,Data!$A:$G,5,0),NA())</f>
        <v>0.33</v>
      </c>
      <c r="O9" s="5">
        <f>IF($O$1,VLOOKUP(K9,Data!$A:$G,6,0),NA())</f>
        <v>0.67</v>
      </c>
    </row>
    <row r="10" spans="1:15" x14ac:dyDescent="0.25">
      <c r="A10" s="2" t="s">
        <v>20</v>
      </c>
      <c r="K10" t="str">
        <f t="shared" si="0"/>
        <v>AğuDoğu</v>
      </c>
      <c r="L10" s="2" t="s">
        <v>19</v>
      </c>
      <c r="M10" s="5">
        <f>IF($M$1,VLOOKUP(K10,Data!$A:$G,4,0),NA())</f>
        <v>0.79</v>
      </c>
      <c r="N10" s="5">
        <f>IF($N$1,VLOOKUP(K10,Data!$A:$G,5,0),NA())</f>
        <v>0.39</v>
      </c>
      <c r="O10" s="5">
        <f>IF($O$1,VLOOKUP(K10,Data!$A:$G,6,0),NA())</f>
        <v>0.79</v>
      </c>
    </row>
    <row r="11" spans="1:15" x14ac:dyDescent="0.25">
      <c r="A11" s="2" t="s">
        <v>21</v>
      </c>
      <c r="F11" s="7" t="s">
        <v>3</v>
      </c>
      <c r="G11" s="8">
        <f>VLOOKUP($F$5,Data!$A$1:$G$49,MATCH(Hesap!F11,Data!$A$1:$G$1,0),0)</f>
        <v>0.7</v>
      </c>
      <c r="H11" s="8">
        <f>1-G11</f>
        <v>0.30000000000000004</v>
      </c>
      <c r="K11" t="str">
        <f t="shared" si="0"/>
        <v>EylDoğu</v>
      </c>
      <c r="L11" s="2" t="s">
        <v>20</v>
      </c>
      <c r="M11" s="5">
        <f>IF($M$1,VLOOKUP(K11,Data!$A:$G,4,0),NA())</f>
        <v>0.3</v>
      </c>
      <c r="N11" s="5">
        <f>IF($N$1,VLOOKUP(K11,Data!$A:$G,5,0),NA())</f>
        <v>0.36</v>
      </c>
      <c r="O11" s="5">
        <f>IF($O$1,VLOOKUP(K11,Data!$A:$G,6,0),NA())</f>
        <v>0.3</v>
      </c>
    </row>
    <row r="12" spans="1:15" x14ac:dyDescent="0.25">
      <c r="A12" s="2" t="s">
        <v>22</v>
      </c>
      <c r="F12" s="7" t="s">
        <v>4</v>
      </c>
      <c r="G12" s="8">
        <f>VLOOKUP($F$5,Data!$A$1:$G$49,MATCH(Hesap!F12,Data!$A$1:$G$1,0),0)</f>
        <v>0.59</v>
      </c>
      <c r="H12" s="9">
        <f>1-G12</f>
        <v>0.41000000000000003</v>
      </c>
      <c r="K12" t="str">
        <f t="shared" si="0"/>
        <v>EkiDoğu</v>
      </c>
      <c r="L12" s="2" t="s">
        <v>21</v>
      </c>
      <c r="M12" s="5">
        <f>IF($M$1,VLOOKUP(K12,Data!$A:$G,4,0),NA())</f>
        <v>0.39</v>
      </c>
      <c r="N12" s="5">
        <f>IF($N$1,VLOOKUP(K12,Data!$A:$G,5,0),NA())</f>
        <v>0.38</v>
      </c>
      <c r="O12" s="5">
        <f>IF($O$1,VLOOKUP(K12,Data!$A:$G,6,0),NA())</f>
        <v>0.77</v>
      </c>
    </row>
    <row r="13" spans="1:15" x14ac:dyDescent="0.25">
      <c r="A13" s="2" t="s">
        <v>23</v>
      </c>
      <c r="F13" s="7" t="s">
        <v>5</v>
      </c>
      <c r="G13" s="8">
        <f>VLOOKUP($F$5,Data!$A$1:$G$49,MATCH(Hesap!F13,Data!$A$1:$G$1,0),0)</f>
        <v>0.41</v>
      </c>
      <c r="H13" s="9">
        <f>1-G13</f>
        <v>0.59000000000000008</v>
      </c>
      <c r="K13" t="str">
        <f t="shared" si="0"/>
        <v>KasDoğu</v>
      </c>
      <c r="L13" s="2" t="s">
        <v>22</v>
      </c>
      <c r="M13" s="5">
        <f>IF($M$1,VLOOKUP(K13,Data!$A:$G,4,0),NA())</f>
        <v>0.68</v>
      </c>
      <c r="N13" s="5">
        <f>IF($N$1,VLOOKUP(K13,Data!$A:$G,5,0),NA())</f>
        <v>0.38</v>
      </c>
      <c r="O13" s="5">
        <f>IF($O$1,VLOOKUP(K13,Data!$A:$G,6,0),NA())</f>
        <v>0.69</v>
      </c>
    </row>
    <row r="14" spans="1:15" x14ac:dyDescent="0.25">
      <c r="K14" t="str">
        <f t="shared" si="0"/>
        <v>AraDoğu</v>
      </c>
      <c r="L14" s="2" t="s">
        <v>23</v>
      </c>
      <c r="M14" s="5">
        <f>IF($M$1,VLOOKUP(K14,Data!$A:$G,4,0),NA())</f>
        <v>0.56000000000000005</v>
      </c>
      <c r="N14" s="5">
        <f>IF($N$1,VLOOKUP(K14,Data!$A:$G,5,0),NA())</f>
        <v>0.73</v>
      </c>
      <c r="O14" s="5">
        <f>IF($O$1,VLOOKUP(K14,Data!$A:$G,6,0),NA())</f>
        <v>0.78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tabSelected="1" workbookViewId="0">
      <selection activeCell="J4" sqref="J4"/>
    </sheetView>
  </sheetViews>
  <sheetFormatPr defaultRowHeight="15" x14ac:dyDescent="0.25"/>
  <cols>
    <col min="1" max="23" width="15.7109375" customWidth="1"/>
  </cols>
  <sheetData>
    <row r="1" spans="1:12" ht="80.099999999999994" customHeight="1" x14ac:dyDescent="0.25">
      <c r="A1" s="7" t="s">
        <v>32</v>
      </c>
      <c r="B1" s="7" t="s">
        <v>24</v>
      </c>
      <c r="C1" s="7" t="s">
        <v>2</v>
      </c>
      <c r="D1" s="7" t="s">
        <v>29</v>
      </c>
      <c r="E1" s="7" t="s">
        <v>30</v>
      </c>
      <c r="F1" s="7" t="s">
        <v>31</v>
      </c>
      <c r="K1">
        <v>3</v>
      </c>
      <c r="L1">
        <f>INDEX($A$2:$A$5,$K$1,1)</f>
        <v>0</v>
      </c>
    </row>
    <row r="2" spans="1:12" ht="80.099999999999994" customHeight="1" x14ac:dyDescent="0.25">
      <c r="A2" s="10"/>
      <c r="B2" s="11" t="s">
        <v>25</v>
      </c>
      <c r="C2" s="12" t="s">
        <v>7</v>
      </c>
      <c r="D2" s="15">
        <f>AVERAGEIF(Data!$G:$G,Data!G2,Data!$D:$D)</f>
        <v>0.52499999999999991</v>
      </c>
      <c r="E2" s="15">
        <f>AVERAGEIF(Data!$G:$G,Data!G2,Data!$E:$E)</f>
        <v>0.51083333333333336</v>
      </c>
      <c r="F2" s="15">
        <f>AVERAGEIF(Data!$G:$G,Data!G2,Data!$F:$F)</f>
        <v>0.55666666666666653</v>
      </c>
    </row>
    <row r="3" spans="1:12" ht="80.099999999999994" customHeight="1" x14ac:dyDescent="0.25">
      <c r="A3" s="10"/>
      <c r="B3" s="11" t="s">
        <v>26</v>
      </c>
      <c r="C3" s="12" t="s">
        <v>9</v>
      </c>
      <c r="D3" s="15">
        <f>AVERAGEIF(Data!$G:$G,Data!G3,Data!$D:$D)</f>
        <v>0.55833333333333335</v>
      </c>
      <c r="E3" s="15">
        <f>AVERAGEIF(Data!$G:$G,Data!G3,Data!$E:$E)</f>
        <v>0.58416666666666661</v>
      </c>
      <c r="F3" s="15">
        <f>AVERAGEIF(Data!$G:$G,Data!G3,Data!$F:$F)</f>
        <v>0.60416666666666674</v>
      </c>
      <c r="I3" s="7" t="s">
        <v>29</v>
      </c>
      <c r="J3" s="7" t="s">
        <v>30</v>
      </c>
      <c r="K3" s="7" t="s">
        <v>31</v>
      </c>
    </row>
    <row r="4" spans="1:12" ht="80.099999999999994" customHeight="1" x14ac:dyDescent="0.25">
      <c r="A4" s="10"/>
      <c r="B4" s="11" t="s">
        <v>27</v>
      </c>
      <c r="C4" s="12" t="s">
        <v>11</v>
      </c>
      <c r="D4" s="15">
        <f>AVERAGEIF(Data!$G:$G,Data!G4,Data!$D:$D)</f>
        <v>0.53166666666666662</v>
      </c>
      <c r="E4" s="15">
        <f>AVERAGEIF(Data!$G:$G,Data!G4,Data!$E:$E)</f>
        <v>0.50666666666666671</v>
      </c>
      <c r="F4" s="15">
        <f>AVERAGEIF(Data!$G:$G,Data!G4,Data!$F:$F)</f>
        <v>0.56999999999999995</v>
      </c>
      <c r="H4" t="str">
        <f>INDEX(B2:B5,K1,1)</f>
        <v>Emp3</v>
      </c>
      <c r="I4" s="5">
        <f>VLOOKUP($H$4,$B$2:$F$5,MATCH(I3,$B$1:$F$1,0),0)</f>
        <v>0.53166666666666662</v>
      </c>
      <c r="J4" s="5">
        <f t="shared" ref="J4:K4" si="0">VLOOKUP($H$4,$B$2:$F$5,MATCH(J3,$B$1:$F$1,0),0)</f>
        <v>0.50666666666666671</v>
      </c>
      <c r="K4" s="5">
        <f t="shared" si="0"/>
        <v>0.56999999999999995</v>
      </c>
    </row>
    <row r="5" spans="1:12" ht="80.099999999999994" customHeight="1" x14ac:dyDescent="0.25">
      <c r="A5" s="10"/>
      <c r="B5" s="11" t="s">
        <v>28</v>
      </c>
      <c r="C5" s="12" t="s">
        <v>12</v>
      </c>
      <c r="D5" s="15">
        <f>AVERAGEIF(Data!$G:$G,Data!G5,Data!$D:$D)</f>
        <v>0.53333333333333333</v>
      </c>
      <c r="E5" s="15">
        <f>AVERAGEIF(Data!$G:$G,Data!G5,Data!$E:$E)</f>
        <v>0.52583333333333337</v>
      </c>
      <c r="F5" s="15">
        <f>AVERAGEIF(Data!$G:$G,Data!G5,Data!$F:$F)</f>
        <v>0.53999999999999992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"/>
  <sheetViews>
    <sheetView topLeftCell="A10" workbookViewId="0">
      <selection activeCell="P23" sqref="P23"/>
    </sheetView>
  </sheetViews>
  <sheetFormatPr defaultRowHeight="15" x14ac:dyDescent="0.25"/>
  <sheetData>
    <row r="1" spans="1:25" x14ac:dyDescent="0.25">
      <c r="M1" t="b">
        <v>0</v>
      </c>
      <c r="N1" t="b">
        <v>1</v>
      </c>
      <c r="O1" t="b">
        <v>1</v>
      </c>
    </row>
    <row r="5" spans="1:25" x14ac:dyDescent="0.25">
      <c r="A5" s="14"/>
      <c r="B5" s="14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8.75" x14ac:dyDescent="0.3">
      <c r="A6" s="14"/>
      <c r="B6" s="14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6" t="str">
        <f>INDEX(Çalışanlar!B2:B5,Çalışanlar!K1,1)</f>
        <v>Emp3</v>
      </c>
      <c r="V6" s="16"/>
      <c r="W6" s="13"/>
      <c r="X6" s="13"/>
      <c r="Y6" s="13"/>
    </row>
    <row r="7" spans="1:25" x14ac:dyDescent="0.25">
      <c r="A7" s="14"/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A8" s="14"/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25">
      <c r="A9" s="14"/>
      <c r="B9" s="14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25">
      <c r="A10" s="14"/>
      <c r="B10" s="14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25">
      <c r="A11" s="14"/>
      <c r="B11" s="14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5">
      <c r="A12" s="14"/>
      <c r="B12" s="14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4"/>
      <c r="B13" s="14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25">
      <c r="A14" s="14"/>
      <c r="B14" s="14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25">
      <c r="A15" s="14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25">
      <c r="A16" s="14"/>
      <c r="B16" s="14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25">
      <c r="A17" s="14"/>
      <c r="B17" s="14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25">
      <c r="A18" s="14"/>
      <c r="B18" s="14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25">
      <c r="A19" s="14"/>
      <c r="B19" s="14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25">
      <c r="A20" s="14"/>
      <c r="B20" s="14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25">
      <c r="A21" s="14"/>
      <c r="B21" s="14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4"/>
      <c r="B22" s="14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25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25">
      <c r="A24" s="14"/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25">
      <c r="A25" s="1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25">
      <c r="A26" s="14"/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25">
      <c r="A27" s="14"/>
      <c r="B27" s="14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25">
      <c r="A28" s="14"/>
      <c r="B28" s="14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25">
      <c r="A29" s="14"/>
      <c r="B29" s="14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25">
      <c r="A30" s="14"/>
      <c r="B30" s="14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25">
      <c r="A31" s="14"/>
      <c r="B31" s="14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25">
      <c r="A32" s="14"/>
      <c r="B32" s="14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25">
      <c r="A33" s="14"/>
      <c r="B33" s="14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x14ac:dyDescent="0.25">
      <c r="A34" s="14"/>
      <c r="B34" s="14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25">
      <c r="A35" s="14"/>
      <c r="B35" s="14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25">
      <c r="A36" s="14"/>
      <c r="B36" s="14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25">
      <c r="A37" s="14"/>
      <c r="B37" s="14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25">
      <c r="A38" s="14"/>
      <c r="B38" s="14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25">
      <c r="A39" s="14"/>
      <c r="B39" s="14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14"/>
      <c r="B40" s="14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25">
      <c r="A41" s="14"/>
      <c r="B41" s="14"/>
      <c r="C41" s="1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5">
      <c r="A42" s="14"/>
      <c r="B42" s="14"/>
      <c r="C42" s="1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25">
      <c r="A43" s="14"/>
      <c r="B43" s="14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4"/>
      <c r="B44" s="14"/>
      <c r="C44" s="1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25">
      <c r="A45" s="14"/>
      <c r="B45" s="14"/>
      <c r="C45" s="1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25">
      <c r="A46" s="14"/>
      <c r="B46" s="14"/>
      <c r="C46" s="1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25">
      <c r="A47" s="14"/>
      <c r="B47" s="14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25">
      <c r="A48" s="14"/>
      <c r="B48" s="14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25">
      <c r="A49" s="14"/>
      <c r="B49" s="14"/>
      <c r="C49" s="1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25">
      <c r="A50" s="14"/>
      <c r="B50" s="14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25">
      <c r="A51" s="14"/>
      <c r="B51" s="14"/>
      <c r="C51" s="1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14"/>
      <c r="B52" s="14"/>
      <c r="C52" s="1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25">
      <c r="A53" s="14"/>
      <c r="B53" s="14"/>
      <c r="C53" s="1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5">
      <c r="A54" s="14"/>
      <c r="B54" s="14"/>
      <c r="C54" s="1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25">
      <c r="A55" s="14"/>
      <c r="B55" s="14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25">
      <c r="A56" s="14"/>
      <c r="B56" s="14"/>
      <c r="C56" s="1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25">
      <c r="A57" s="14"/>
      <c r="B57" s="14"/>
      <c r="C57" s="1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25">
      <c r="A58" s="14"/>
      <c r="B58" s="14"/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25">
      <c r="A59" s="14"/>
      <c r="B59" s="14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5">
      <c r="A60" s="14"/>
      <c r="B60" s="14"/>
      <c r="C60" s="1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</sheetData>
  <mergeCells count="1">
    <mergeCell ref="U6:V6"/>
  </mergeCell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152400</xdr:colOff>
                    <xdr:row>17</xdr:row>
                    <xdr:rowOff>114300</xdr:rowOff>
                  </from>
                  <to>
                    <xdr:col>2</xdr:col>
                    <xdr:colOff>409575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Option Button 2">
              <controlPr defaultSize="0" autoFill="0" autoLine="0" autoPict="0">
                <anchor moveWithCells="1">
                  <from>
                    <xdr:col>0</xdr:col>
                    <xdr:colOff>523875</xdr:colOff>
                    <xdr:row>6</xdr:row>
                    <xdr:rowOff>76200</xdr:rowOff>
                  </from>
                  <to>
                    <xdr:col>2</xdr:col>
                    <xdr:colOff>238125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Option Button 3">
              <controlPr defaultSize="0" autoFill="0" autoLine="0" autoPict="0">
                <anchor moveWithCells="1">
                  <from>
                    <xdr:col>0</xdr:col>
                    <xdr:colOff>542925</xdr:colOff>
                    <xdr:row>8</xdr:row>
                    <xdr:rowOff>114300</xdr:rowOff>
                  </from>
                  <to>
                    <xdr:col>2</xdr:col>
                    <xdr:colOff>219075</xdr:colOff>
                    <xdr:row>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Option Button 4">
              <controlPr defaultSize="0" autoFill="0" autoLine="0" autoPict="0">
                <anchor moveWithCells="1">
                  <from>
                    <xdr:col>0</xdr:col>
                    <xdr:colOff>523875</xdr:colOff>
                    <xdr:row>10</xdr:row>
                    <xdr:rowOff>171450</xdr:rowOff>
                  </from>
                  <to>
                    <xdr:col>2</xdr:col>
                    <xdr:colOff>209550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Option Button 5">
              <controlPr defaultSize="0" autoFill="0" autoLine="0" autoPict="0">
                <anchor moveWithCells="1">
                  <from>
                    <xdr:col>0</xdr:col>
                    <xdr:colOff>523875</xdr:colOff>
                    <xdr:row>13</xdr:row>
                    <xdr:rowOff>28575</xdr:rowOff>
                  </from>
                  <to>
                    <xdr:col>2</xdr:col>
                    <xdr:colOff>219075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Drop Down 6">
              <controlPr defaultSize="0" autoLine="0" autoPict="0">
                <anchor moveWithCells="1">
                  <from>
                    <xdr:col>21</xdr:col>
                    <xdr:colOff>85725</xdr:colOff>
                    <xdr:row>2</xdr:row>
                    <xdr:rowOff>38100</xdr:rowOff>
                  </from>
                  <to>
                    <xdr:col>24</xdr:col>
                    <xdr:colOff>76200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0</xdr:col>
                    <xdr:colOff>533400</xdr:colOff>
                    <xdr:row>23</xdr:row>
                    <xdr:rowOff>76200</xdr:rowOff>
                  </from>
                  <to>
                    <xdr:col>2</xdr:col>
                    <xdr:colOff>209550</xdr:colOff>
                    <xdr:row>24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0</xdr:col>
                    <xdr:colOff>533400</xdr:colOff>
                    <xdr:row>25</xdr:row>
                    <xdr:rowOff>85725</xdr:rowOff>
                  </from>
                  <to>
                    <xdr:col>2</xdr:col>
                    <xdr:colOff>209550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0</xdr:col>
                    <xdr:colOff>533400</xdr:colOff>
                    <xdr:row>27</xdr:row>
                    <xdr:rowOff>85725</xdr:rowOff>
                  </from>
                  <to>
                    <xdr:col>2</xdr:col>
                    <xdr:colOff>219075</xdr:colOff>
                    <xdr:row>28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Puanlama</vt:lpstr>
      <vt:lpstr>Data</vt:lpstr>
      <vt:lpstr>Hesap</vt:lpstr>
      <vt:lpstr>Çalışanlar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</dc:creator>
  <cp:lastModifiedBy>OGRETMEN</cp:lastModifiedBy>
  <dcterms:created xsi:type="dcterms:W3CDTF">2022-03-06T12:24:07Z</dcterms:created>
  <dcterms:modified xsi:type="dcterms:W3CDTF">2025-12-17T13:53:25Z</dcterms:modified>
</cp:coreProperties>
</file>