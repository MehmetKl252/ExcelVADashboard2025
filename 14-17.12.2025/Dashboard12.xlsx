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BuÇalismaKitabi" hidePivotFieldList="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A518A84-DA02-42A2-8218-BC18B33C4C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4" r:id="rId1"/>
    <sheet name="pivot" sheetId="2" r:id="rId2"/>
    <sheet name="dashboard" sheetId="3" state="hidden" r:id="rId3"/>
    <sheet name="Veri" sheetId="1" r:id="rId4"/>
    <sheet name="Puanlama" sheetId="5" state="hidden" r:id="rId5"/>
  </sheets>
  <externalReferences>
    <externalReference r:id="rId6"/>
  </externalReferences>
  <definedNames>
    <definedName name="_xlnm._FilterDatabase" localSheetId="3" hidden="1">Veri!$A$1:$N$620</definedName>
    <definedName name="bir_fatura_ortalaması">[1]Hesaplamalar!$G$11</definedName>
    <definedName name="Dilimleyici_Adı_Soyadı">#N/A</definedName>
    <definedName name="Dilimleyici_Bölgesi">#N/A</definedName>
    <definedName name="en_iyi_1">[1]Hesaplamalar!$D$4</definedName>
    <definedName name="en_iyi_2">[1]Hesaplamalar!$D$5</definedName>
    <definedName name="en_iyi_3">[1]Hesaplamalar!$D$6</definedName>
    <definedName name="en_iyi_4">[1]Hesaplamalar!$D$7</definedName>
    <definedName name="en_iyi_5">[1]Hesaplamalar!$D$8</definedName>
    <definedName name="en_kötü_1">[1]Hesaplamalar!$D$13</definedName>
    <definedName name="en_kötü_2">[1]Hesaplamalar!$D$14</definedName>
    <definedName name="en_kötü_3">[1]Hesaplamalar!$D$15</definedName>
    <definedName name="en_kötü_4">[1]Hesaplamalar!$D$16</definedName>
    <definedName name="en_kötü_5">[1]Hesaplamalar!$D$17</definedName>
    <definedName name="fatura_adedi">[1]Hesaplamalar!$G$4</definedName>
    <definedName name="toplam_Fatura_Tutarı">[1]Hesaplamalar!$G$7</definedName>
    <definedName name="YerelZamanÇizelgesi_Tarih">#N/A</definedName>
    <definedName name="Yil2007">#REF!</definedName>
    <definedName name="Yil2008">#REF!</definedName>
    <definedName name="Yil2009">#REF!</definedName>
    <definedName name="Yil2010">#REF!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21" i="1" l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621" i="1" s="1"/>
  <c r="M2" i="1"/>
</calcChain>
</file>

<file path=xl/sharedStrings.xml><?xml version="1.0" encoding="utf-8"?>
<sst xmlns="http://schemas.openxmlformats.org/spreadsheetml/2006/main" count="5629" uniqueCount="96">
  <si>
    <t>S.NO</t>
  </si>
  <si>
    <t>Bayi</t>
  </si>
  <si>
    <t>Bölgesi</t>
  </si>
  <si>
    <t>Tarih</t>
  </si>
  <si>
    <t>Fatura No</t>
  </si>
  <si>
    <t>Kodu</t>
  </si>
  <si>
    <t>Adı Soyadı</t>
  </si>
  <si>
    <t>Ürün Kodu</t>
  </si>
  <si>
    <t>Grubu</t>
  </si>
  <si>
    <t>Birim</t>
  </si>
  <si>
    <t>Adet</t>
  </si>
  <si>
    <t>Birim Fiyatı</t>
  </si>
  <si>
    <t>Tutar</t>
  </si>
  <si>
    <t>Ödeme Tipi</t>
  </si>
  <si>
    <t>ARAS GIDA</t>
  </si>
  <si>
    <t>AKDENİZ</t>
  </si>
  <si>
    <t>ADİL KAYSUK</t>
  </si>
  <si>
    <t>KAHVALTILIK</t>
  </si>
  <si>
    <t>ADET</t>
  </si>
  <si>
    <t>ÇEK</t>
  </si>
  <si>
    <t>BURHAN DAĞLAR</t>
  </si>
  <si>
    <t>HÜRRİYET GIDA</t>
  </si>
  <si>
    <t>BAKLİYAT</t>
  </si>
  <si>
    <t>KG</t>
  </si>
  <si>
    <t>YAĞLAR</t>
  </si>
  <si>
    <t>SENET</t>
  </si>
  <si>
    <t>MAVİ TİC.</t>
  </si>
  <si>
    <t>DERYA CANTÜRK</t>
  </si>
  <si>
    <t>CİKLET</t>
  </si>
  <si>
    <t>PAKET</t>
  </si>
  <si>
    <t>PEŞİN</t>
  </si>
  <si>
    <t>MUZAFFER GIDA</t>
  </si>
  <si>
    <t>MARMARA</t>
  </si>
  <si>
    <t>PETEK GIDA</t>
  </si>
  <si>
    <t>İÇ ANADOLU</t>
  </si>
  <si>
    <t>TEK PAZARLAMA</t>
  </si>
  <si>
    <t>KONSERVE</t>
  </si>
  <si>
    <t>ZEYYAT GIDA</t>
  </si>
  <si>
    <t>BİSKÜVİ</t>
  </si>
  <si>
    <t>MERAL HAKTANIR</t>
  </si>
  <si>
    <t>DOĞU ANADOLU</t>
  </si>
  <si>
    <t>AYDINLIK GIDA</t>
  </si>
  <si>
    <t>EGE</t>
  </si>
  <si>
    <t>BİROL GIDA</t>
  </si>
  <si>
    <t>ALEV GÜÇLÜ</t>
  </si>
  <si>
    <t>KERİM BAHTIKARA</t>
  </si>
  <si>
    <t>ERTAN GIDA</t>
  </si>
  <si>
    <t>ÇİKOLATA</t>
  </si>
  <si>
    <t>FUNDA PAZARLAMA</t>
  </si>
  <si>
    <t>MELİKE DEMİRKOL</t>
  </si>
  <si>
    <t>DİNÇERLER</t>
  </si>
  <si>
    <t>GÜNEY DOĞU</t>
  </si>
  <si>
    <t>İZMİR GIDA</t>
  </si>
  <si>
    <t>CEM GIDA</t>
  </si>
  <si>
    <t>CELAL KOCABAŞ</t>
  </si>
  <si>
    <t>PASİNLER</t>
  </si>
  <si>
    <t>DEMİR SEKER</t>
  </si>
  <si>
    <t>ERHAN GÜVEN</t>
  </si>
  <si>
    <t>ERSİN GİRİK</t>
  </si>
  <si>
    <t>JALE ÇİÇEK</t>
  </si>
  <si>
    <t>PETEK ERCAN</t>
  </si>
  <si>
    <t>FATİH GÜÇ</t>
  </si>
  <si>
    <t>VAHİT ŞANLI</t>
  </si>
  <si>
    <t>ŞENER YİĞİT</t>
  </si>
  <si>
    <t>GÜNGÖR TOPAL</t>
  </si>
  <si>
    <t>ASLI DEMİRBİLEK</t>
  </si>
  <si>
    <t>KEMAL GÖKDEMİR</t>
  </si>
  <si>
    <t>İNCİ GIDA</t>
  </si>
  <si>
    <t>BOLKAN GIDA</t>
  </si>
  <si>
    <t>MELAHAT KİPER</t>
  </si>
  <si>
    <t>CİHAN GIDA</t>
  </si>
  <si>
    <t>DOĞAN PAZARLAMA</t>
  </si>
  <si>
    <t>CEVDET TOZKOPARAN</t>
  </si>
  <si>
    <t>MİTHAT GÜLEŞÇİ</t>
  </si>
  <si>
    <t>TARKAN KARA</t>
  </si>
  <si>
    <t>ÇETİN SARPKAYA</t>
  </si>
  <si>
    <t>SEYMEN GIDA</t>
  </si>
  <si>
    <t>ŞENER ER</t>
  </si>
  <si>
    <t>TEYZE GIDA</t>
  </si>
  <si>
    <t>TEVFİK SEYHAN</t>
  </si>
  <si>
    <t>KARADENİZ</t>
  </si>
  <si>
    <t>HASEL GIDA</t>
  </si>
  <si>
    <t>TURAN GÖKÇE</t>
  </si>
  <si>
    <t>YAŞAR GÜNDÜZ</t>
  </si>
  <si>
    <t>EMİNE YILDIZ</t>
  </si>
  <si>
    <t>EMEL TOPKARA</t>
  </si>
  <si>
    <t>Toplam</t>
  </si>
  <si>
    <t>Satır Etiketleri</t>
  </si>
  <si>
    <t>Genel Toplam</t>
  </si>
  <si>
    <t>Toplam Tutar</t>
  </si>
  <si>
    <t>Toplam Adet</t>
  </si>
  <si>
    <t>Say Fatura No</t>
  </si>
  <si>
    <t>Pivot Table :</t>
  </si>
  <si>
    <t>20 Puan</t>
  </si>
  <si>
    <t>Dashboard Sayfası:</t>
  </si>
  <si>
    <t>80 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</si>
</sst>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0000"/>
    <numFmt numFmtId="166" formatCode="00"/>
    <numFmt numFmtId="167" formatCode="000\ ####\ ###"/>
    <numFmt numFmtId="168" formatCode="0000"/>
    <numFmt numFmtId="169" formatCode="0####"/>
    <numFmt numFmtId="170" formatCode="_ * #,##0_)\ _$_ ;_ * \(#,##0\)\ _$_ ;_ * &quot;-&quot;??_)\ _$_ ;_ @_ "/>
  </numFmts>
  <fonts count="7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sz val="14"/>
      <name val="Arial Tur"/>
      <family val="2"/>
      <charset val="162"/>
    </font>
    <font>
      <sz val="12"/>
      <name val="Arial Tur"/>
      <family val="2"/>
      <charset val="162"/>
    </font>
    <font>
      <sz val="11"/>
      <color indexed="8"/>
      <name val="Calibri"/>
      <family val="2"/>
      <charset val="162"/>
    </font>
    <font>
      <sz val="11"/>
      <color indexed="8"/>
      <name val="Tahoma"/>
      <family val="2"/>
      <charset val="162"/>
    </font>
    <font>
      <sz val="12"/>
      <name val="Arial Tu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165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3" fillId="0" borderId="0" xfId="0" applyFont="1" applyFill="1"/>
    <xf numFmtId="3" fontId="2" fillId="0" borderId="1" xfId="0" applyNumberFormat="1" applyFont="1" applyFill="1" applyBorder="1" applyAlignment="1">
      <alignment horizontal="center" vertical="center" wrapText="1"/>
    </xf>
    <xf numFmtId="0" fontId="5" fillId="0" borderId="0" xfId="2" applyFont="1" applyFill="1"/>
    <xf numFmtId="165" fontId="3" fillId="0" borderId="0" xfId="0" applyNumberFormat="1" applyFont="1" applyFill="1"/>
    <xf numFmtId="0" fontId="3" fillId="0" borderId="0" xfId="0" applyFont="1" applyFill="1" applyAlignment="1">
      <alignment horizontal="left"/>
    </xf>
    <xf numFmtId="166" fontId="3" fillId="0" borderId="0" xfId="0" applyNumberFormat="1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167" fontId="3" fillId="0" borderId="0" xfId="0" applyNumberFormat="1" applyFont="1" applyFill="1"/>
    <xf numFmtId="168" fontId="3" fillId="0" borderId="0" xfId="0" applyNumberFormat="1" applyFont="1" applyFill="1" applyAlignment="1">
      <alignment horizontal="right"/>
    </xf>
    <xf numFmtId="169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3" fontId="3" fillId="0" borderId="0" xfId="1" applyNumberFormat="1" applyFont="1" applyFill="1"/>
    <xf numFmtId="170" fontId="3" fillId="0" borderId="0" xfId="0" applyNumberFormat="1" applyFont="1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right"/>
    </xf>
    <xf numFmtId="0" fontId="6" fillId="0" borderId="0" xfId="0" applyNumberFormat="1" applyFont="1" applyFill="1"/>
    <xf numFmtId="3" fontId="6" fillId="0" borderId="0" xfId="0" applyNumberFormat="1" applyFont="1" applyFill="1"/>
    <xf numFmtId="165" fontId="5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horizontal="center" vertical="center"/>
    </xf>
    <xf numFmtId="3" fontId="5" fillId="0" borderId="0" xfId="2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4" fontId="0" fillId="0" borderId="0" xfId="0" applyNumberFormat="1"/>
  </cellXfs>
  <cellStyles count="3">
    <cellStyle name="Normal" xfId="0" builtinId="0"/>
    <cellStyle name="Normal_DataCalismasi" xfId="2" xr:uid="{00000000-0005-0000-0000-000001000000}"/>
    <cellStyle name="Virgül" xfId="1" builtinId="3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9" formatCode="0###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8" formatCode="00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7" formatCode="000\ ####\ 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6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5" formatCode="00000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71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pivot!$E$3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8C-4384-AE77-F3B6D424E5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C-4384-AE77-F3B6D424E5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8C-4384-AE77-F3B6D424E5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pivot!$D$4:$D$11</c:f>
              <c:strCache>
                <c:ptCount val="7"/>
                <c:pt idx="0">
                  <c:v>BAKLİYAT</c:v>
                </c:pt>
                <c:pt idx="1">
                  <c:v>BİSKÜVİ</c:v>
                </c:pt>
                <c:pt idx="2">
                  <c:v>CİKLET</c:v>
                </c:pt>
                <c:pt idx="3">
                  <c:v>ÇİKOLATA</c:v>
                </c:pt>
                <c:pt idx="4">
                  <c:v>KAHVALTILIK</c:v>
                </c:pt>
                <c:pt idx="5">
                  <c:v>KONSERVE</c:v>
                </c:pt>
                <c:pt idx="6">
                  <c:v>YAĞLAR</c:v>
                </c:pt>
              </c:strCache>
            </c:strRef>
          </c:cat>
          <c:val>
            <c:numRef>
              <c:f>pivot!$E$4:$E$11</c:f>
              <c:numCache>
                <c:formatCode>General</c:formatCode>
                <c:ptCount val="7"/>
                <c:pt idx="0">
                  <c:v>248090</c:v>
                </c:pt>
                <c:pt idx="1">
                  <c:v>91965</c:v>
                </c:pt>
                <c:pt idx="2">
                  <c:v>4224</c:v>
                </c:pt>
                <c:pt idx="3">
                  <c:v>48440</c:v>
                </c:pt>
                <c:pt idx="4">
                  <c:v>285380</c:v>
                </c:pt>
                <c:pt idx="5">
                  <c:v>232020</c:v>
                </c:pt>
                <c:pt idx="6">
                  <c:v>253700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F-4622-9D4C-374AEC363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pivot!$D$4:$D$11</c:f>
              <c:strCache>
                <c:ptCount val="7"/>
                <c:pt idx="0">
                  <c:v>BAKLİYAT</c:v>
                </c:pt>
                <c:pt idx="1">
                  <c:v>BİSKÜVİ</c:v>
                </c:pt>
                <c:pt idx="2">
                  <c:v>CİKLET</c:v>
                </c:pt>
                <c:pt idx="3">
                  <c:v>ÇİKOLATA</c:v>
                </c:pt>
                <c:pt idx="4">
                  <c:v>KAHVALTILIK</c:v>
                </c:pt>
                <c:pt idx="5">
                  <c:v>KONSERVE</c:v>
                </c:pt>
                <c:pt idx="6">
                  <c:v>YAĞLAR</c:v>
                </c:pt>
              </c:strCache>
            </c:strRef>
          </c:cat>
          <c:val>
            <c:numRef>
              <c:f>pivot!$E$4:$E$11</c:f>
              <c:numCache>
                <c:formatCode>General</c:formatCode>
                <c:ptCount val="7"/>
                <c:pt idx="0">
                  <c:v>248090</c:v>
                </c:pt>
                <c:pt idx="1">
                  <c:v>91965</c:v>
                </c:pt>
                <c:pt idx="2">
                  <c:v>4224</c:v>
                </c:pt>
                <c:pt idx="3">
                  <c:v>48440</c:v>
                </c:pt>
                <c:pt idx="4">
                  <c:v>285380</c:v>
                </c:pt>
                <c:pt idx="5">
                  <c:v>232020</c:v>
                </c:pt>
                <c:pt idx="6">
                  <c:v>253700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8-4874-8B50-6744B467E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501768"/>
        <c:axId val="360495864"/>
      </c:barChart>
      <c:catAx>
        <c:axId val="36050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495864"/>
        <c:crosses val="autoZero"/>
        <c:auto val="1"/>
        <c:lblAlgn val="ctr"/>
        <c:lblOffset val="100"/>
        <c:noMultiLvlLbl val="0"/>
      </c:catAx>
      <c:valAx>
        <c:axId val="36049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50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pivot!$N$2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pivot!$M$3:$M$25</c:f>
              <c:strCache>
                <c:ptCount val="22"/>
                <c:pt idx="0">
                  <c:v>ARAS GIDA</c:v>
                </c:pt>
                <c:pt idx="1">
                  <c:v>AYDINLIK GIDA</c:v>
                </c:pt>
                <c:pt idx="2">
                  <c:v>BİROL GIDA</c:v>
                </c:pt>
                <c:pt idx="3">
                  <c:v>BOLKAN GIDA</c:v>
                </c:pt>
                <c:pt idx="4">
                  <c:v>CEM GIDA</c:v>
                </c:pt>
                <c:pt idx="5">
                  <c:v>CİHAN GIDA</c:v>
                </c:pt>
                <c:pt idx="6">
                  <c:v>DİNÇERLER</c:v>
                </c:pt>
                <c:pt idx="7">
                  <c:v>DOĞAN PAZARLAMA</c:v>
                </c:pt>
                <c:pt idx="8">
                  <c:v>ERTAN GIDA</c:v>
                </c:pt>
                <c:pt idx="9">
                  <c:v>FUNDA PAZARLAMA</c:v>
                </c:pt>
                <c:pt idx="10">
                  <c:v>HASEL GIDA</c:v>
                </c:pt>
                <c:pt idx="11">
                  <c:v>HÜRRİYET GIDA</c:v>
                </c:pt>
                <c:pt idx="12">
                  <c:v>İNCİ GIDA</c:v>
                </c:pt>
                <c:pt idx="13">
                  <c:v>İZMİR GIDA</c:v>
                </c:pt>
                <c:pt idx="14">
                  <c:v>MAVİ TİC.</c:v>
                </c:pt>
                <c:pt idx="15">
                  <c:v>MUZAFFER GIDA</c:v>
                </c:pt>
                <c:pt idx="16">
                  <c:v>PASİNLER</c:v>
                </c:pt>
                <c:pt idx="17">
                  <c:v>PETEK GIDA</c:v>
                </c:pt>
                <c:pt idx="18">
                  <c:v>SEYMEN GIDA</c:v>
                </c:pt>
                <c:pt idx="19">
                  <c:v>TEK PAZARLAMA</c:v>
                </c:pt>
                <c:pt idx="20">
                  <c:v>TEYZE GIDA</c:v>
                </c:pt>
                <c:pt idx="21">
                  <c:v>ZEYYAT GIDA</c:v>
                </c:pt>
              </c:strCache>
            </c:strRef>
          </c:cat>
          <c:val>
            <c:numRef>
              <c:f>pivot!$N$3:$N$25</c:f>
              <c:numCache>
                <c:formatCode>General</c:formatCode>
                <c:ptCount val="22"/>
                <c:pt idx="0">
                  <c:v>18</c:v>
                </c:pt>
                <c:pt idx="1">
                  <c:v>54</c:v>
                </c:pt>
                <c:pt idx="2">
                  <c:v>132</c:v>
                </c:pt>
                <c:pt idx="3">
                  <c:v>1</c:v>
                </c:pt>
                <c:pt idx="4">
                  <c:v>6</c:v>
                </c:pt>
                <c:pt idx="5">
                  <c:v>66</c:v>
                </c:pt>
                <c:pt idx="6">
                  <c:v>18</c:v>
                </c:pt>
                <c:pt idx="7">
                  <c:v>6</c:v>
                </c:pt>
                <c:pt idx="8">
                  <c:v>6</c:v>
                </c:pt>
                <c:pt idx="9">
                  <c:v>30</c:v>
                </c:pt>
                <c:pt idx="10">
                  <c:v>24</c:v>
                </c:pt>
                <c:pt idx="11">
                  <c:v>12</c:v>
                </c:pt>
                <c:pt idx="12">
                  <c:v>12</c:v>
                </c:pt>
                <c:pt idx="13">
                  <c:v>78</c:v>
                </c:pt>
                <c:pt idx="14">
                  <c:v>12</c:v>
                </c:pt>
                <c:pt idx="15">
                  <c:v>6</c:v>
                </c:pt>
                <c:pt idx="16">
                  <c:v>6</c:v>
                </c:pt>
                <c:pt idx="17">
                  <c:v>12</c:v>
                </c:pt>
                <c:pt idx="18">
                  <c:v>6</c:v>
                </c:pt>
                <c:pt idx="19">
                  <c:v>18</c:v>
                </c:pt>
                <c:pt idx="20">
                  <c:v>42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B-410C-B47E-21E92240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499144"/>
        <c:axId val="360504720"/>
      </c:barChart>
      <c:catAx>
        <c:axId val="36049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504720"/>
        <c:crosses val="autoZero"/>
        <c:auto val="1"/>
        <c:lblAlgn val="ctr"/>
        <c:lblOffset val="100"/>
        <c:noMultiLvlLbl val="0"/>
      </c:catAx>
      <c:valAx>
        <c:axId val="360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49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aseline="0"/>
              <a:t>BAYİ SATIŞ  TUTARLARI</a:t>
            </a:r>
            <a:r>
              <a:rPr lang="en-US" baseline="0"/>
              <a:t> TOPLAMI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pivot!$A$4:$A$26</c:f>
              <c:strCache>
                <c:ptCount val="22"/>
                <c:pt idx="0">
                  <c:v>ARAS GIDA</c:v>
                </c:pt>
                <c:pt idx="1">
                  <c:v>AYDINLIK GIDA</c:v>
                </c:pt>
                <c:pt idx="2">
                  <c:v>BİROL GIDA</c:v>
                </c:pt>
                <c:pt idx="3">
                  <c:v>BOLKAN GIDA</c:v>
                </c:pt>
                <c:pt idx="4">
                  <c:v>CEM GIDA</c:v>
                </c:pt>
                <c:pt idx="5">
                  <c:v>CİHAN GIDA</c:v>
                </c:pt>
                <c:pt idx="6">
                  <c:v>DİNÇERLER</c:v>
                </c:pt>
                <c:pt idx="7">
                  <c:v>DOĞAN PAZARLAMA</c:v>
                </c:pt>
                <c:pt idx="8">
                  <c:v>ERTAN GIDA</c:v>
                </c:pt>
                <c:pt idx="9">
                  <c:v>FUNDA PAZARLAMA</c:v>
                </c:pt>
                <c:pt idx="10">
                  <c:v>HASEL GIDA</c:v>
                </c:pt>
                <c:pt idx="11">
                  <c:v>HÜRRİYET GIDA</c:v>
                </c:pt>
                <c:pt idx="12">
                  <c:v>İNCİ GIDA</c:v>
                </c:pt>
                <c:pt idx="13">
                  <c:v>İZMİR GIDA</c:v>
                </c:pt>
                <c:pt idx="14">
                  <c:v>MAVİ TİC.</c:v>
                </c:pt>
                <c:pt idx="15">
                  <c:v>MUZAFFER GIDA</c:v>
                </c:pt>
                <c:pt idx="16">
                  <c:v>PASİNLER</c:v>
                </c:pt>
                <c:pt idx="17">
                  <c:v>PETEK GIDA</c:v>
                </c:pt>
                <c:pt idx="18">
                  <c:v>SEYMEN GIDA</c:v>
                </c:pt>
                <c:pt idx="19">
                  <c:v>TEK PAZARLAMA</c:v>
                </c:pt>
                <c:pt idx="20">
                  <c:v>TEYZE GIDA</c:v>
                </c:pt>
                <c:pt idx="21">
                  <c:v>ZEYYAT GIDA</c:v>
                </c:pt>
              </c:strCache>
            </c:strRef>
          </c:cat>
          <c:val>
            <c:numRef>
              <c:f>pivot!$B$4:$B$26</c:f>
              <c:numCache>
                <c:formatCode>General</c:formatCode>
                <c:ptCount val="22"/>
                <c:pt idx="0">
                  <c:v>51030</c:v>
                </c:pt>
                <c:pt idx="1">
                  <c:v>120650</c:v>
                </c:pt>
                <c:pt idx="2">
                  <c:v>207869</c:v>
                </c:pt>
                <c:pt idx="3">
                  <c:v>560</c:v>
                </c:pt>
                <c:pt idx="4">
                  <c:v>13140</c:v>
                </c:pt>
                <c:pt idx="5">
                  <c:v>172000</c:v>
                </c:pt>
                <c:pt idx="6">
                  <c:v>29175</c:v>
                </c:pt>
                <c:pt idx="7">
                  <c:v>11550</c:v>
                </c:pt>
                <c:pt idx="8">
                  <c:v>12280</c:v>
                </c:pt>
                <c:pt idx="9">
                  <c:v>65010</c:v>
                </c:pt>
                <c:pt idx="10">
                  <c:v>42040</c:v>
                </c:pt>
                <c:pt idx="11">
                  <c:v>23100</c:v>
                </c:pt>
                <c:pt idx="12">
                  <c:v>13980</c:v>
                </c:pt>
                <c:pt idx="13">
                  <c:v>153043</c:v>
                </c:pt>
                <c:pt idx="14">
                  <c:v>10841</c:v>
                </c:pt>
                <c:pt idx="15">
                  <c:v>19890</c:v>
                </c:pt>
                <c:pt idx="16">
                  <c:v>9625</c:v>
                </c:pt>
                <c:pt idx="17">
                  <c:v>9482</c:v>
                </c:pt>
                <c:pt idx="18">
                  <c:v>7215</c:v>
                </c:pt>
                <c:pt idx="19">
                  <c:v>51675</c:v>
                </c:pt>
                <c:pt idx="20">
                  <c:v>59108</c:v>
                </c:pt>
                <c:pt idx="21">
                  <c:v>80556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7-40FE-8751-B968A45E0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245359"/>
        <c:axId val="864248271"/>
      </c:barChart>
      <c:catAx>
        <c:axId val="86424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64248271"/>
        <c:crosses val="autoZero"/>
        <c:auto val="1"/>
        <c:lblAlgn val="ctr"/>
        <c:lblOffset val="100"/>
        <c:noMultiLvlLbl val="0"/>
      </c:catAx>
      <c:valAx>
        <c:axId val="86424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6424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ÖDEME</a:t>
            </a:r>
            <a:r>
              <a:rPr lang="tr-TR" baseline="0"/>
              <a:t> TİPİ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pivot!$G$4:$G$7</c:f>
              <c:strCache>
                <c:ptCount val="3"/>
                <c:pt idx="0">
                  <c:v>ÇEK</c:v>
                </c:pt>
                <c:pt idx="1">
                  <c:v>PEŞİN</c:v>
                </c:pt>
                <c:pt idx="2">
                  <c:v>SENET</c:v>
                </c:pt>
              </c:strCache>
            </c:strRef>
          </c:cat>
          <c:val>
            <c:numRef>
              <c:f>pivot!$H$4:$H$7</c:f>
              <c:numCache>
                <c:formatCode>General</c:formatCode>
                <c:ptCount val="3"/>
                <c:pt idx="0">
                  <c:v>11640</c:v>
                </c:pt>
                <c:pt idx="1">
                  <c:v>12385</c:v>
                </c:pt>
                <c:pt idx="2">
                  <c:v>10534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0A-480E-89AE-300EF8031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8515839"/>
        <c:axId val="918514175"/>
        <c:axId val="0"/>
      </c:bar3DChart>
      <c:catAx>
        <c:axId val="91851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8514175"/>
        <c:crosses val="autoZero"/>
        <c:auto val="1"/>
        <c:lblAlgn val="ctr"/>
        <c:lblOffset val="100"/>
        <c:noMultiLvlLbl val="0"/>
      </c:catAx>
      <c:valAx>
        <c:axId val="9185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851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ÜRÜN</a:t>
            </a:r>
            <a:r>
              <a:rPr lang="tr-TR" baseline="0"/>
              <a:t> SATIŞ DAĞILIMI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pivot!$K$2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4E-40E5-B3DD-3C78F1A1AA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4E-40E5-B3DD-3C78F1A1AA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4E-40E5-B3DD-3C78F1A1AA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4E-40E5-B3DD-3C78F1A1AA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4E-40E5-B3DD-3C78F1A1AA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4E-40E5-B3DD-3C78F1A1AA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4E-40E5-B3DD-3C78F1A1AAD3}"/>
              </c:ext>
            </c:extLst>
          </c:dPt>
          <c:cat>
            <c:strRef>
              <c:f>pivot!$J$3:$J$10</c:f>
              <c:strCache>
                <c:ptCount val="7"/>
                <c:pt idx="0">
                  <c:v>BAKLİYAT</c:v>
                </c:pt>
                <c:pt idx="1">
                  <c:v>BİSKÜVİ</c:v>
                </c:pt>
                <c:pt idx="2">
                  <c:v>CİKLET</c:v>
                </c:pt>
                <c:pt idx="3">
                  <c:v>ÇİKOLATA</c:v>
                </c:pt>
                <c:pt idx="4">
                  <c:v>KAHVALTILIK</c:v>
                </c:pt>
                <c:pt idx="5">
                  <c:v>KONSERVE</c:v>
                </c:pt>
                <c:pt idx="6">
                  <c:v>YAĞLAR</c:v>
                </c:pt>
              </c:strCache>
            </c:strRef>
          </c:cat>
          <c:val>
            <c:numRef>
              <c:f>pivot!$K$3:$K$10</c:f>
              <c:numCache>
                <c:formatCode>General</c:formatCode>
                <c:ptCount val="7"/>
                <c:pt idx="0">
                  <c:v>7824</c:v>
                </c:pt>
                <c:pt idx="1">
                  <c:v>6131</c:v>
                </c:pt>
                <c:pt idx="2">
                  <c:v>3149</c:v>
                </c:pt>
                <c:pt idx="3">
                  <c:v>1448</c:v>
                </c:pt>
                <c:pt idx="4">
                  <c:v>8326</c:v>
                </c:pt>
                <c:pt idx="5">
                  <c:v>3867</c:v>
                </c:pt>
                <c:pt idx="6">
                  <c:v>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4E-40E5-B3DD-3C78F1A1A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ÜRÜNLERE</a:t>
            </a:r>
            <a:r>
              <a:rPr lang="en-US" baseline="0"/>
              <a:t> GÖRE SATIŞ TUTARLARI TOPLAMI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15665147119768"/>
          <c:y val="0.20329008288705788"/>
          <c:w val="0.79051703273932861"/>
          <c:h val="0.681938007477248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pivot!$D$4:$D$11</c:f>
              <c:strCache>
                <c:ptCount val="7"/>
                <c:pt idx="0">
                  <c:v>BAKLİYAT</c:v>
                </c:pt>
                <c:pt idx="1">
                  <c:v>BİSKÜVİ</c:v>
                </c:pt>
                <c:pt idx="2">
                  <c:v>CİKLET</c:v>
                </c:pt>
                <c:pt idx="3">
                  <c:v>ÇİKOLATA</c:v>
                </c:pt>
                <c:pt idx="4">
                  <c:v>KAHVALTILIK</c:v>
                </c:pt>
                <c:pt idx="5">
                  <c:v>KONSERVE</c:v>
                </c:pt>
                <c:pt idx="6">
                  <c:v>YAĞLAR</c:v>
                </c:pt>
              </c:strCache>
            </c:strRef>
          </c:cat>
          <c:val>
            <c:numRef>
              <c:f>pivot!$E$4:$E$11</c:f>
              <c:numCache>
                <c:formatCode>General</c:formatCode>
                <c:ptCount val="7"/>
                <c:pt idx="0">
                  <c:v>248090</c:v>
                </c:pt>
                <c:pt idx="1">
                  <c:v>91965</c:v>
                </c:pt>
                <c:pt idx="2">
                  <c:v>4224</c:v>
                </c:pt>
                <c:pt idx="3">
                  <c:v>48440</c:v>
                </c:pt>
                <c:pt idx="4">
                  <c:v>285380</c:v>
                </c:pt>
                <c:pt idx="5">
                  <c:v>232020</c:v>
                </c:pt>
                <c:pt idx="6">
                  <c:v>253700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D-4FDD-83EB-24E796885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0501768"/>
        <c:axId val="360495864"/>
      </c:barChart>
      <c:catAx>
        <c:axId val="36050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495864"/>
        <c:crosses val="autoZero"/>
        <c:auto val="1"/>
        <c:lblAlgn val="ctr"/>
        <c:lblOffset val="100"/>
        <c:noMultiLvlLbl val="0"/>
      </c:catAx>
      <c:valAx>
        <c:axId val="36049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501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[Dashboard10.xlsx]pivot!PivotTable6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TOPLAM</a:t>
            </a:r>
            <a:r>
              <a:rPr lang="en-US" baseline="0"/>
              <a:t> FATURA SAYISI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pivot!$N$2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pivot!$M$3:$M$25</c:f>
              <c:strCache>
                <c:ptCount val="22"/>
                <c:pt idx="0">
                  <c:v>ARAS GIDA</c:v>
                </c:pt>
                <c:pt idx="1">
                  <c:v>AYDINLIK GIDA</c:v>
                </c:pt>
                <c:pt idx="2">
                  <c:v>BİROL GIDA</c:v>
                </c:pt>
                <c:pt idx="3">
                  <c:v>BOLKAN GIDA</c:v>
                </c:pt>
                <c:pt idx="4">
                  <c:v>CEM GIDA</c:v>
                </c:pt>
                <c:pt idx="5">
                  <c:v>CİHAN GIDA</c:v>
                </c:pt>
                <c:pt idx="6">
                  <c:v>DİNÇERLER</c:v>
                </c:pt>
                <c:pt idx="7">
                  <c:v>DOĞAN PAZARLAMA</c:v>
                </c:pt>
                <c:pt idx="8">
                  <c:v>ERTAN GIDA</c:v>
                </c:pt>
                <c:pt idx="9">
                  <c:v>FUNDA PAZARLAMA</c:v>
                </c:pt>
                <c:pt idx="10">
                  <c:v>HASEL GIDA</c:v>
                </c:pt>
                <c:pt idx="11">
                  <c:v>HÜRRİYET GIDA</c:v>
                </c:pt>
                <c:pt idx="12">
                  <c:v>İNCİ GIDA</c:v>
                </c:pt>
                <c:pt idx="13">
                  <c:v>İZMİR GIDA</c:v>
                </c:pt>
                <c:pt idx="14">
                  <c:v>MAVİ TİC.</c:v>
                </c:pt>
                <c:pt idx="15">
                  <c:v>MUZAFFER GIDA</c:v>
                </c:pt>
                <c:pt idx="16">
                  <c:v>PASİNLER</c:v>
                </c:pt>
                <c:pt idx="17">
                  <c:v>PETEK GIDA</c:v>
                </c:pt>
                <c:pt idx="18">
                  <c:v>SEYMEN GIDA</c:v>
                </c:pt>
                <c:pt idx="19">
                  <c:v>TEK PAZARLAMA</c:v>
                </c:pt>
                <c:pt idx="20">
                  <c:v>TEYZE GIDA</c:v>
                </c:pt>
                <c:pt idx="21">
                  <c:v>ZEYYAT GIDA</c:v>
                </c:pt>
              </c:strCache>
            </c:strRef>
          </c:cat>
          <c:val>
            <c:numRef>
              <c:f>pivot!$N$3:$N$25</c:f>
              <c:numCache>
                <c:formatCode>General</c:formatCode>
                <c:ptCount val="22"/>
                <c:pt idx="0">
                  <c:v>18</c:v>
                </c:pt>
                <c:pt idx="1">
                  <c:v>54</c:v>
                </c:pt>
                <c:pt idx="2">
                  <c:v>132</c:v>
                </c:pt>
                <c:pt idx="3">
                  <c:v>1</c:v>
                </c:pt>
                <c:pt idx="4">
                  <c:v>6</c:v>
                </c:pt>
                <c:pt idx="5">
                  <c:v>66</c:v>
                </c:pt>
                <c:pt idx="6">
                  <c:v>18</c:v>
                </c:pt>
                <c:pt idx="7">
                  <c:v>6</c:v>
                </c:pt>
                <c:pt idx="8">
                  <c:v>6</c:v>
                </c:pt>
                <c:pt idx="9">
                  <c:v>30</c:v>
                </c:pt>
                <c:pt idx="10">
                  <c:v>24</c:v>
                </c:pt>
                <c:pt idx="11">
                  <c:v>12</c:v>
                </c:pt>
                <c:pt idx="12">
                  <c:v>12</c:v>
                </c:pt>
                <c:pt idx="13">
                  <c:v>78</c:v>
                </c:pt>
                <c:pt idx="14">
                  <c:v>12</c:v>
                </c:pt>
                <c:pt idx="15">
                  <c:v>6</c:v>
                </c:pt>
                <c:pt idx="16">
                  <c:v>6</c:v>
                </c:pt>
                <c:pt idx="17">
                  <c:v>12</c:v>
                </c:pt>
                <c:pt idx="18">
                  <c:v>6</c:v>
                </c:pt>
                <c:pt idx="19">
                  <c:v>18</c:v>
                </c:pt>
                <c:pt idx="20">
                  <c:v>42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3-4589-B543-52E0BB912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499144"/>
        <c:axId val="360504720"/>
      </c:barChart>
      <c:catAx>
        <c:axId val="36049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504720"/>
        <c:crosses val="autoZero"/>
        <c:auto val="1"/>
        <c:lblAlgn val="ctr"/>
        <c:lblOffset val="100"/>
        <c:noMultiLvlLbl val="0"/>
      </c:catAx>
      <c:valAx>
        <c:axId val="360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049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9</xdr:row>
      <xdr:rowOff>100012</xdr:rowOff>
    </xdr:from>
    <xdr:to>
      <xdr:col>23</xdr:col>
      <xdr:colOff>47625</xdr:colOff>
      <xdr:row>26</xdr:row>
      <xdr:rowOff>90487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95249</xdr:colOff>
      <xdr:row>9</xdr:row>
      <xdr:rowOff>142874</xdr:rowOff>
    </xdr:from>
    <xdr:to>
      <xdr:col>9</xdr:col>
      <xdr:colOff>142875</xdr:colOff>
      <xdr:row>26</xdr:row>
      <xdr:rowOff>9524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180975</xdr:colOff>
      <xdr:row>10</xdr:row>
      <xdr:rowOff>14287</xdr:rowOff>
    </xdr:from>
    <xdr:to>
      <xdr:col>14</xdr:col>
      <xdr:colOff>133350</xdr:colOff>
      <xdr:row>26</xdr:row>
      <xdr:rowOff>9525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19049</xdr:rowOff>
    </xdr:from>
    <xdr:to>
      <xdr:col>8</xdr:col>
      <xdr:colOff>295274</xdr:colOff>
      <xdr:row>15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Bölgesi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0974"/>
              <a:ext cx="5172074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79375</xdr:colOff>
      <xdr:row>16</xdr:row>
      <xdr:rowOff>127452</xdr:rowOff>
    </xdr:from>
    <xdr:to>
      <xdr:col>12</xdr:col>
      <xdr:colOff>479425</xdr:colOff>
      <xdr:row>28</xdr:row>
      <xdr:rowOff>127454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dı Soyadı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ı Soyadı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75" y="2771125"/>
              <a:ext cx="7747907" cy="19827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457199</xdr:colOff>
      <xdr:row>7</xdr:row>
      <xdr:rowOff>1</xdr:rowOff>
    </xdr:from>
    <xdr:to>
      <xdr:col>19</xdr:col>
      <xdr:colOff>0</xdr:colOff>
      <xdr:row>14</xdr:row>
      <xdr:rowOff>152400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Tarih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ari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3999" y="161926"/>
              <a:ext cx="6248401" cy="1285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Zaman Çizelgesi: Excel veya daha sonraki sürümlerde çalışır. Taşımayın veya yeniden boyutlandırmayın.</a:t>
              </a:r>
            </a:p>
          </xdr:txBody>
        </xdr:sp>
      </mc:Fallback>
    </mc:AlternateContent>
    <xdr:clientData/>
  </xdr:twoCellAnchor>
  <xdr:twoCellAnchor>
    <xdr:from>
      <xdr:col>0</xdr:col>
      <xdr:colOff>28574</xdr:colOff>
      <xdr:row>30</xdr:row>
      <xdr:rowOff>84364</xdr:rowOff>
    </xdr:from>
    <xdr:to>
      <xdr:col>10</xdr:col>
      <xdr:colOff>19049</xdr:colOff>
      <xdr:row>47</xdr:row>
      <xdr:rowOff>95250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590550</xdr:colOff>
      <xdr:row>16</xdr:row>
      <xdr:rowOff>161924</xdr:rowOff>
    </xdr:from>
    <xdr:to>
      <xdr:col>18</xdr:col>
      <xdr:colOff>590550</xdr:colOff>
      <xdr:row>28</xdr:row>
      <xdr:rowOff>152399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117021</xdr:colOff>
      <xdr:row>30</xdr:row>
      <xdr:rowOff>81643</xdr:rowOff>
    </xdr:from>
    <xdr:to>
      <xdr:col>18</xdr:col>
      <xdr:colOff>598714</xdr:colOff>
      <xdr:row>47</xdr:row>
      <xdr:rowOff>70757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48</xdr:row>
      <xdr:rowOff>103188</xdr:rowOff>
    </xdr:from>
    <xdr:to>
      <xdr:col>10</xdr:col>
      <xdr:colOff>0</xdr:colOff>
      <xdr:row>67</xdr:row>
      <xdr:rowOff>142875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111125</xdr:colOff>
      <xdr:row>48</xdr:row>
      <xdr:rowOff>95250</xdr:rowOff>
    </xdr:from>
    <xdr:to>
      <xdr:col>18</xdr:col>
      <xdr:colOff>587375</xdr:colOff>
      <xdr:row>68</xdr:row>
      <xdr:rowOff>23812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71438</xdr:colOff>
      <xdr:row>3</xdr:row>
      <xdr:rowOff>-1</xdr:rowOff>
    </xdr:from>
    <xdr:to>
      <xdr:col>18</xdr:col>
      <xdr:colOff>595312</xdr:colOff>
      <xdr:row>5</xdr:row>
      <xdr:rowOff>142874</xdr:rowOff>
    </xdr:to>
    <xdr:sp macro="" textlink="">
      <xdr:nvSpPr>
        <xdr:cNvPr id="6" name="Yuvarlatılmış Dikdört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71438" y="500062"/>
          <a:ext cx="11668124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ANADOLU</a:t>
          </a:r>
          <a:r>
            <a:rPr lang="en-US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GRUBU SATIŞ  </a:t>
          </a:r>
          <a:r>
            <a:rPr lang="en-US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VERİLERİ</a:t>
          </a:r>
          <a:endParaRPr lang="en-US" sz="2800" b="1" cap="none" spc="0">
            <a:ln w="6600">
              <a:solidFill>
                <a:schemeClr val="accent2"/>
              </a:solidFill>
              <a:prstDash val="solid"/>
            </a:ln>
            <a:solidFill>
              <a:schemeClr val="bg1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_DASHBOARDe&#287;itim\E&#287;itmen\7-&#350;ekiller-&#304;simler-K&#246;pr&#252;ler-Pivot%20ile%20Dashboard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saplamalar"/>
      <sheetName val="Veri"/>
      <sheetName val="Dashboard"/>
    </sheetNames>
    <sheetDataSet>
      <sheetData sheetId="0">
        <row r="4">
          <cell r="D4">
            <v>15160</v>
          </cell>
          <cell r="G4">
            <v>25</v>
          </cell>
        </row>
        <row r="5">
          <cell r="D5">
            <v>12280</v>
          </cell>
        </row>
        <row r="6">
          <cell r="D6">
            <v>11520</v>
          </cell>
        </row>
        <row r="7">
          <cell r="D7">
            <v>8920</v>
          </cell>
          <cell r="G7">
            <v>48440</v>
          </cell>
        </row>
        <row r="8">
          <cell r="D8">
            <v>560</v>
          </cell>
        </row>
        <row r="11">
          <cell r="G11">
            <v>1937.6</v>
          </cell>
        </row>
        <row r="13">
          <cell r="D13">
            <v>15160</v>
          </cell>
        </row>
        <row r="14">
          <cell r="D14">
            <v>12280</v>
          </cell>
        </row>
        <row r="15">
          <cell r="D15">
            <v>11520</v>
          </cell>
        </row>
        <row r="16">
          <cell r="D16">
            <v>8920</v>
          </cell>
        </row>
        <row r="17">
          <cell r="D17">
            <v>560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03-16" refreshedDate="43602.756855092593" createdVersion="6" refreshedVersion="6" minRefreshableVersion="3" recordCount="619" xr:uid="{00000000-000A-0000-FFFF-FFFF00000000}">
  <cacheSource type="worksheet">
    <worksheetSource name="satışlar"/>
  </cacheSource>
  <cacheFields count="14">
    <cacheField name="S.NO" numFmtId="165">
      <sharedItems containsSemiMixedTypes="0" containsString="0" containsNumber="1" containsInteger="1" minValue="1" maxValue="619"/>
    </cacheField>
    <cacheField name="Bayi" numFmtId="0">
      <sharedItems count="22">
        <s v="ARAS GIDA"/>
        <s v="HÜRRİYET GIDA"/>
        <s v="MAVİ TİC."/>
        <s v="MUZAFFER GIDA"/>
        <s v="PETEK GIDA"/>
        <s v="TEK PAZARLAMA"/>
        <s v="ZEYYAT GIDA"/>
        <s v="AYDINLIK GIDA"/>
        <s v="BİROL GIDA"/>
        <s v="ERTAN GIDA"/>
        <s v="FUNDA PAZARLAMA"/>
        <s v="DİNÇERLER"/>
        <s v="İZMİR GIDA"/>
        <s v="CEM GIDA"/>
        <s v="PASİNLER"/>
        <s v="İNCİ GIDA"/>
        <s v="BOLKAN GIDA"/>
        <s v="CİHAN GIDA"/>
        <s v="DOĞAN PAZARLAMA"/>
        <s v="SEYMEN GIDA"/>
        <s v="TEYZE GIDA"/>
        <s v="HASEL GIDA"/>
      </sharedItems>
    </cacheField>
    <cacheField name="Bölgesi" numFmtId="166">
      <sharedItems count="7">
        <s v="AKDENİZ"/>
        <s v="MARMARA"/>
        <s v="İÇ ANADOLU"/>
        <s v="DOĞU ANADOLU"/>
        <s v="EGE"/>
        <s v="GÜNEY DOĞU"/>
        <s v="KARADENİZ"/>
      </sharedItems>
    </cacheField>
    <cacheField name="Tarih" numFmtId="14">
      <sharedItems containsSemiMixedTypes="0" containsNonDate="0" containsDate="1" containsString="0" minDate="1995-01-12T00:00:00" maxDate="2010-04-01T00:00:00" count="619">
        <d v="1996-03-14T00:00:00"/>
        <d v="1998-09-27T00:00:00"/>
        <d v="2001-04-11T00:00:00"/>
        <d v="2003-10-25T00:00:00"/>
        <d v="2006-05-09T00:00:00"/>
        <d v="2008-11-21T00:00:00"/>
        <d v="1995-09-07T00:00:00"/>
        <d v="1995-09-16T00:00:00"/>
        <d v="1998-03-22T00:00:00"/>
        <d v="1998-03-31T00:00:00"/>
        <d v="2000-10-04T00:00:00"/>
        <d v="2000-10-13T00:00:00"/>
        <d v="2003-04-19T00:00:00"/>
        <d v="2003-04-28T00:00:00"/>
        <d v="2005-11-01T00:00:00"/>
        <d v="2005-11-10T00:00:00"/>
        <d v="2008-05-16T00:00:00"/>
        <d v="2008-05-25T00:00:00"/>
        <d v="1997-02-01T00:00:00"/>
        <d v="1997-02-10T00:00:00"/>
        <d v="1999-08-17T00:00:00"/>
        <d v="1999-08-26T00:00:00"/>
        <d v="2002-03-01T00:00:00"/>
        <d v="2002-03-10T00:00:00"/>
        <d v="2004-09-13T00:00:00"/>
        <d v="2004-09-22T00:00:00"/>
        <d v="2007-03-29T00:00:00"/>
        <d v="2007-04-07T00:00:00"/>
        <d v="2009-10-11T00:00:00"/>
        <d v="2009-10-20T00:00:00"/>
        <d v="1996-10-25T00:00:00"/>
        <d v="1999-05-10T00:00:00"/>
        <d v="2001-11-22T00:00:00"/>
        <d v="2004-06-06T00:00:00"/>
        <d v="2006-12-20T00:00:00"/>
        <d v="2009-07-04T00:00:00"/>
        <d v="1995-11-18T00:00:00"/>
        <d v="1998-06-02T00:00:00"/>
        <d v="2000-12-15T00:00:00"/>
        <d v="2003-06-30T00:00:00"/>
        <d v="2006-01-12T00:00:00"/>
        <d v="2008-07-27T00:00:00"/>
        <d v="1997-04-14T00:00:00"/>
        <d v="1997-04-23T00:00:00"/>
        <d v="1997-05-02T00:00:00"/>
        <d v="1999-10-28T00:00:00"/>
        <d v="1999-11-06T00:00:00"/>
        <d v="1999-11-15T00:00:00"/>
        <d v="2002-05-12T00:00:00"/>
        <d v="2002-05-21T00:00:00"/>
        <d v="2002-05-30T00:00:00"/>
        <d v="2004-11-24T00:00:00"/>
        <d v="2004-12-03T00:00:00"/>
        <d v="2004-12-12T00:00:00"/>
        <d v="2007-06-09T00:00:00"/>
        <d v="2007-06-18T00:00:00"/>
        <d v="2007-06-27T00:00:00"/>
        <d v="2009-12-22T00:00:00"/>
        <d v="2009-12-31T00:00:00"/>
        <d v="2010-01-09T00:00:00"/>
        <d v="1995-12-06T00:00:00"/>
        <d v="1995-12-15T00:00:00"/>
        <d v="1995-12-24T00:00:00"/>
        <d v="1996-01-20T00:00:00"/>
        <d v="1996-01-29T00:00:00"/>
        <d v="1996-02-16T00:00:00"/>
        <d v="1998-06-20T00:00:00"/>
        <d v="1998-06-29T00:00:00"/>
        <d v="1998-07-08T00:00:00"/>
        <d v="1998-08-04T00:00:00"/>
        <d v="1998-08-13T00:00:00"/>
        <d v="1998-08-31T00:00:00"/>
        <d v="2001-01-02T00:00:00"/>
        <d v="2001-01-11T00:00:00"/>
        <d v="2001-01-20T00:00:00"/>
        <d v="2001-02-16T00:00:00"/>
        <d v="2001-02-25T00:00:00"/>
        <d v="2001-03-15T00:00:00"/>
        <d v="2003-07-18T00:00:00"/>
        <d v="2003-07-27T00:00:00"/>
        <d v="2003-08-05T00:00:00"/>
        <d v="2003-09-01T00:00:00"/>
        <d v="2003-09-10T00:00:00"/>
        <d v="2003-09-28T00:00:00"/>
        <d v="2006-01-30T00:00:00"/>
        <d v="2006-02-08T00:00:00"/>
        <d v="2006-02-17T00:00:00"/>
        <d v="2006-03-16T00:00:00"/>
        <d v="2006-03-25T00:00:00"/>
        <d v="2006-04-12T00:00:00"/>
        <d v="2008-08-14T00:00:00"/>
        <d v="2008-08-23T00:00:00"/>
        <d v="2008-09-01T00:00:00"/>
        <d v="2008-09-28T00:00:00"/>
        <d v="2008-10-07T00:00:00"/>
        <d v="2008-10-25T00:00:00"/>
        <d v="1997-06-16T00:00:00"/>
        <d v="1999-12-30T00:00:00"/>
        <d v="2002-07-14T00:00:00"/>
        <d v="2005-01-26T00:00:00"/>
        <d v="2007-08-11T00:00:00"/>
        <d v="2010-02-23T00:00:00"/>
        <d v="1996-04-19T00:00:00"/>
        <d v="1996-05-07T00:00:00"/>
        <d v="1996-09-19T00:00:00"/>
        <d v="1996-09-28T00:00:00"/>
        <d v="1998-11-02T00:00:00"/>
        <d v="1998-11-20T00:00:00"/>
        <d v="1999-04-04T00:00:00"/>
        <d v="1999-04-13T00:00:00"/>
        <d v="2001-05-17T00:00:00"/>
        <d v="2001-06-04T00:00:00"/>
        <d v="2001-10-17T00:00:00"/>
        <d v="2001-10-26T00:00:00"/>
        <d v="2003-11-30T00:00:00"/>
        <d v="2003-12-18T00:00:00"/>
        <d v="2004-05-01T00:00:00"/>
        <d v="2004-05-10T00:00:00"/>
        <d v="2006-06-14T00:00:00"/>
        <d v="2006-07-02T00:00:00"/>
        <d v="2006-11-14T00:00:00"/>
        <d v="2006-11-23T00:00:00"/>
        <d v="2008-12-27T00:00:00"/>
        <d v="2009-01-14T00:00:00"/>
        <d v="2009-05-29T00:00:00"/>
        <d v="2009-06-07T00:00:00"/>
        <d v="1995-10-31T00:00:00"/>
        <d v="1998-05-15T00:00:00"/>
        <d v="2000-11-27T00:00:00"/>
        <d v="2003-06-12T00:00:00"/>
        <d v="2005-12-25T00:00:00"/>
        <d v="2008-07-09T00:00:00"/>
        <d v="1997-04-05T00:00:00"/>
        <d v="1999-10-19T00:00:00"/>
        <d v="2002-05-03T00:00:00"/>
        <d v="2004-11-15T00:00:00"/>
        <d v="2007-05-31T00:00:00"/>
        <d v="2009-12-13T00:00:00"/>
        <d v="1997-05-29T00:00:00"/>
        <d v="1997-06-25T00:00:00"/>
        <d v="1999-12-12T00:00:00"/>
        <d v="2000-01-08T00:00:00"/>
        <d v="2002-06-26T00:00:00"/>
        <d v="2002-07-23T00:00:00"/>
        <d v="2005-01-08T00:00:00"/>
        <d v="2005-02-04T00:00:00"/>
        <d v="2007-07-24T00:00:00"/>
        <d v="2007-08-20T00:00:00"/>
        <d v="2010-02-05T00:00:00"/>
        <d v="2010-03-04T00:00:00"/>
        <d v="1995-10-13T00:00:00"/>
        <d v="1998-04-27T00:00:00"/>
        <d v="2000-11-09T00:00:00"/>
        <d v="2003-05-25T00:00:00"/>
        <d v="2005-12-07T00:00:00"/>
        <d v="2008-06-21T00:00:00"/>
        <d v="1997-03-27T00:00:00"/>
        <d v="1999-10-10T00:00:00"/>
        <d v="2002-04-24T00:00:00"/>
        <d v="2004-11-06T00:00:00"/>
        <d v="2007-05-22T00:00:00"/>
        <d v="2009-12-04T00:00:00"/>
        <d v="1995-05-22T00:00:00"/>
        <d v="1995-05-31T00:00:00"/>
        <d v="1997-12-04T00:00:00"/>
        <d v="1997-12-13T00:00:00"/>
        <d v="2000-06-18T00:00:00"/>
        <d v="2000-06-27T00:00:00"/>
        <d v="2003-01-01T00:00:00"/>
        <d v="2003-01-10T00:00:00"/>
        <d v="2005-07-16T00:00:00"/>
        <d v="2005-07-25T00:00:00"/>
        <d v="2008-01-29T00:00:00"/>
        <d v="2008-02-07T00:00:00"/>
        <d v="1996-06-12T00:00:00"/>
        <d v="1996-08-05T00:00:00"/>
        <d v="1998-12-26T00:00:00"/>
        <d v="1999-02-18T00:00:00"/>
        <d v="2001-07-10T00:00:00"/>
        <d v="2001-09-02T00:00:00"/>
        <d v="2004-01-23T00:00:00"/>
        <d v="2004-03-17T00:00:00"/>
        <d v="2006-08-07T00:00:00"/>
        <d v="2006-09-30T00:00:00"/>
        <d v="2009-02-19T00:00:00"/>
        <d v="2009-04-14T00:00:00"/>
        <d v="1997-02-19T00:00:00"/>
        <d v="1999-09-04T00:00:00"/>
        <d v="2002-03-19T00:00:00"/>
        <d v="2004-10-01T00:00:00"/>
        <d v="2007-04-16T00:00:00"/>
        <d v="2009-10-29T00:00:00"/>
        <d v="1995-06-18T00:00:00"/>
        <d v="1995-07-06T00:00:00"/>
        <d v="1995-08-20T00:00:00"/>
        <d v="1997-12-31T00:00:00"/>
        <d v="1998-01-18T00:00:00"/>
        <d v="1998-03-04T00:00:00"/>
        <d v="2000-07-15T00:00:00"/>
        <d v="2000-08-02T00:00:00"/>
        <d v="2000-09-16T00:00:00"/>
        <d v="2003-01-28T00:00:00"/>
        <d v="2003-02-15T00:00:00"/>
        <d v="2003-04-01T00:00:00"/>
        <d v="2005-08-12T00:00:00"/>
        <d v="2005-08-30T00:00:00"/>
        <d v="2005-10-14T00:00:00"/>
        <d v="2008-02-25T00:00:00"/>
        <d v="2008-03-14T00:00:00"/>
        <d v="2008-04-28T00:00:00"/>
        <d v="1995-11-09T00:00:00"/>
        <d v="1998-05-24T00:00:00"/>
        <d v="2000-12-06T00:00:00"/>
        <d v="2003-06-21T00:00:00"/>
        <d v="2006-01-03T00:00:00"/>
        <d v="2008-07-18T00:00:00"/>
        <d v="1996-03-23T00:00:00"/>
        <d v="1996-04-01T00:00:00"/>
        <d v="1998-10-06T00:00:00"/>
        <d v="1998-10-15T00:00:00"/>
        <d v="2001-04-20T00:00:00"/>
        <d v="2001-04-29T00:00:00"/>
        <d v="2003-11-03T00:00:00"/>
        <d v="2003-11-12T00:00:00"/>
        <d v="2006-05-18T00:00:00"/>
        <d v="2006-05-27T00:00:00"/>
        <d v="2008-11-30T00:00:00"/>
        <d v="2008-12-09T00:00:00"/>
        <d v="1995-11-27T00:00:00"/>
        <d v="1998-06-11T00:00:00"/>
        <d v="2000-12-24T00:00:00"/>
        <d v="2003-07-09T00:00:00"/>
        <d v="2006-01-21T00:00:00"/>
        <d v="2008-08-05T00:00:00"/>
        <d v="1996-01-02T00:00:00"/>
        <d v="1996-01-11T00:00:00"/>
        <d v="1996-02-07T00:00:00"/>
        <d v="1998-07-17T00:00:00"/>
        <d v="1998-07-26T00:00:00"/>
        <d v="1998-08-22T00:00:00"/>
        <d v="2001-01-29T00:00:00"/>
        <d v="2001-02-07T00:00:00"/>
        <d v="2001-03-06T00:00:00"/>
        <d v="2003-08-14T00:00:00"/>
        <d v="2003-08-23T00:00:00"/>
        <d v="2003-09-19T00:00:00"/>
        <d v="2006-02-26T00:00:00"/>
        <d v="2006-03-07T00:00:00"/>
        <d v="2006-04-03T00:00:00"/>
        <d v="2008-09-10T00:00:00"/>
        <d v="2008-09-19T00:00:00"/>
        <d v="2008-10-16T00:00:00"/>
        <d v="1996-04-10T00:00:00"/>
        <d v="1996-06-21T00:00:00"/>
        <d v="1996-07-18T00:00:00"/>
        <d v="1998-10-24T00:00:00"/>
        <d v="1999-01-04T00:00:00"/>
        <d v="1999-01-31T00:00:00"/>
        <d v="2001-05-08T00:00:00"/>
        <d v="2001-07-19T00:00:00"/>
        <d v="2001-08-15T00:00:00"/>
        <d v="2003-11-21T00:00:00"/>
        <d v="2004-02-01T00:00:00"/>
        <d v="2004-02-28T00:00:00"/>
        <d v="2006-06-05T00:00:00"/>
        <d v="2006-08-16T00:00:00"/>
        <d v="2006-09-12T00:00:00"/>
        <d v="2008-12-18T00:00:00"/>
        <d v="2009-02-28T00:00:00"/>
        <d v="2009-03-27T00:00:00"/>
        <d v="1995-10-04T00:00:00"/>
        <d v="1998-04-18T00:00:00"/>
        <d v="2000-10-31T00:00:00"/>
        <d v="2003-05-16T00:00:00"/>
        <d v="2005-11-28T00:00:00"/>
        <d v="2008-06-12T00:00:00"/>
        <d v="1997-02-28T00:00:00"/>
        <d v="1999-09-13T00:00:00"/>
        <d v="2002-03-28T00:00:00"/>
        <d v="2004-10-10T00:00:00"/>
        <d v="2007-04-25T00:00:00"/>
        <d v="2009-11-07T00:00:00"/>
        <d v="1995-05-13T00:00:00"/>
        <d v="1995-06-09T00:00:00"/>
        <d v="1995-07-24T00:00:00"/>
        <d v="1995-08-02T00:00:00"/>
        <d v="1995-08-11T00:00:00"/>
        <d v="1997-11-25T00:00:00"/>
        <d v="1997-12-22T00:00:00"/>
        <d v="1998-02-05T00:00:00"/>
        <d v="1998-02-14T00:00:00"/>
        <d v="1998-02-23T00:00:00"/>
        <d v="2000-06-09T00:00:00"/>
        <d v="2000-07-06T00:00:00"/>
        <d v="2000-08-20T00:00:00"/>
        <d v="2000-08-29T00:00:00"/>
        <d v="2000-09-07T00:00:00"/>
        <d v="2002-12-23T00:00:00"/>
        <d v="2003-01-19T00:00:00"/>
        <d v="2003-03-05T00:00:00"/>
        <d v="2003-03-14T00:00:00"/>
        <d v="2003-03-23T00:00:00"/>
        <d v="2005-07-07T00:00:00"/>
        <d v="2005-08-03T00:00:00"/>
        <d v="2005-09-17T00:00:00"/>
        <d v="2005-09-26T00:00:00"/>
        <d v="2005-10-05T00:00:00"/>
        <d v="2008-01-20T00:00:00"/>
        <d v="2008-02-16T00:00:00"/>
        <d v="2008-04-01T00:00:00"/>
        <d v="2008-04-10T00:00:00"/>
        <d v="2008-04-19T00:00:00"/>
        <d v="1997-05-20T00:00:00"/>
        <d v="1999-12-03T00:00:00"/>
        <d v="2002-06-17T00:00:00"/>
        <d v="2004-12-30T00:00:00"/>
        <d v="2007-07-15T00:00:00"/>
        <d v="2010-01-27T00:00:00"/>
        <d v="1996-06-03T00:00:00"/>
        <d v="1996-10-07T00:00:00"/>
        <d v="1996-10-16T00:00:00"/>
        <d v="1998-12-17T00:00:00"/>
        <d v="1999-04-22T00:00:00"/>
        <d v="1999-05-01T00:00:00"/>
        <d v="2001-07-01T00:00:00"/>
        <d v="2001-11-04T00:00:00"/>
        <d v="2001-11-13T00:00:00"/>
        <d v="2004-01-14T00:00:00"/>
        <d v="2004-05-19T00:00:00"/>
        <d v="2004-05-28T00:00:00"/>
        <d v="2006-07-29T00:00:00"/>
        <d v="2006-12-02T00:00:00"/>
        <d v="2006-12-11T00:00:00"/>
        <d v="2009-02-10T00:00:00"/>
        <d v="2009-06-16T00:00:00"/>
        <d v="2009-06-25T00:00:00"/>
        <d v="1997-03-18T00:00:00"/>
        <d v="1999-10-01T00:00:00"/>
        <d v="2002-04-15T00:00:00"/>
        <d v="2004-10-28T00:00:00"/>
        <d v="2007-05-13T00:00:00"/>
        <d v="2009-11-25T00:00:00"/>
        <d v="1997-07-04T00:00:00"/>
        <d v="2000-01-17T00:00:00"/>
        <d v="2002-08-01T00:00:00"/>
        <d v="2005-02-13T00:00:00"/>
        <d v="2007-08-29T00:00:00"/>
        <d v="2010-03-13T00:00:00"/>
        <d v="1996-05-16T00:00:00"/>
        <d v="1996-06-30T00:00:00"/>
        <d v="1996-07-27T00:00:00"/>
        <d v="1996-08-23T00:00:00"/>
        <d v="1998-11-29T00:00:00"/>
        <d v="1999-01-13T00:00:00"/>
        <d v="1999-02-09T00:00:00"/>
        <d v="1999-03-08T00:00:00"/>
        <d v="2001-06-13T00:00:00"/>
        <d v="2001-07-28T00:00:00"/>
        <d v="2001-08-24T00:00:00"/>
        <d v="2001-09-20T00:00:00"/>
        <d v="2003-12-27T00:00:00"/>
        <d v="2004-02-10T00:00:00"/>
        <d v="2004-03-08T00:00:00"/>
        <d v="2004-04-04T00:00:00"/>
        <d v="2006-07-11T00:00:00"/>
        <d v="2006-08-25T00:00:00"/>
        <d v="2006-09-21T00:00:00"/>
        <d v="2006-10-18T00:00:00"/>
        <d v="2009-01-23T00:00:00"/>
        <d v="2009-03-09T00:00:00"/>
        <d v="2009-04-05T00:00:00"/>
        <d v="2009-05-02T00:00:00"/>
        <d v="1995-08-29T00:00:00"/>
        <d v="1998-03-13T00:00:00"/>
        <d v="2000-09-25T00:00:00"/>
        <d v="2003-04-10T00:00:00"/>
        <d v="2005-10-23T00:00:00"/>
        <d v="2008-05-07T00:00:00"/>
        <d v="1997-05-11T00:00:00"/>
        <d v="1997-07-22T00:00:00"/>
        <d v="1999-11-24T00:00:00"/>
        <d v="2000-02-04T00:00:00"/>
        <d v="2002-06-08T00:00:00"/>
        <d v="2002-08-19T00:00:00"/>
        <d v="2004-12-21T00:00:00"/>
        <d v="2005-03-03T00:00:00"/>
        <d v="2007-07-06T00:00:00"/>
        <d v="2007-09-16T00:00:00"/>
        <d v="2010-01-18T00:00:00"/>
        <d v="2010-03-31T00:00:00"/>
        <d v="1996-07-09T00:00:00"/>
        <d v="1999-01-22T00:00:00"/>
        <d v="2001-08-06T00:00:00"/>
        <d v="2004-02-19T00:00:00"/>
        <d v="2006-09-03T00:00:00"/>
        <d v="2009-03-18T00:00:00"/>
        <d v="1997-01-23T00:00:00"/>
        <d v="1999-08-08T00:00:00"/>
        <d v="2002-02-20T00:00:00"/>
        <d v="2004-09-04T00:00:00"/>
        <d v="2007-03-20T00:00:00"/>
        <d v="2009-10-02T00:00:00"/>
        <d v="1995-01-12T00:00:00"/>
        <d v="1995-02-03T00:00:00"/>
        <d v="1995-03-11T00:00:00"/>
        <d v="1997-08-18T00:00:00"/>
        <d v="1997-09-23T00:00:00"/>
        <d v="2000-03-02T00:00:00"/>
        <d v="2000-04-07T00:00:00"/>
        <d v="2002-09-15T00:00:00"/>
        <d v="2002-10-21T00:00:00"/>
        <d v="2005-03-30T00:00:00"/>
        <d v="2005-05-05T00:00:00"/>
        <d v="2007-10-13T00:00:00"/>
        <d v="2007-11-18T00:00:00"/>
        <d v="1996-11-03T00:00:00"/>
        <d v="1999-05-19T00:00:00"/>
        <d v="2001-12-01T00:00:00"/>
        <d v="2004-06-15T00:00:00"/>
        <d v="2006-12-29T00:00:00"/>
        <d v="2009-07-13T00:00:00"/>
        <d v="1997-06-07T00:00:00"/>
        <d v="1997-07-13T00:00:00"/>
        <d v="1999-12-21T00:00:00"/>
        <d v="2000-01-26T00:00:00"/>
        <d v="2002-07-05T00:00:00"/>
        <d v="2002-08-10T00:00:00"/>
        <d v="2005-01-17T00:00:00"/>
        <d v="2005-02-22T00:00:00"/>
        <d v="2007-08-02T00:00:00"/>
        <d v="2007-09-07T00:00:00"/>
        <d v="2010-02-14T00:00:00"/>
        <d v="2010-03-22T00:00:00"/>
        <d v="1996-04-28T00:00:00"/>
        <d v="1996-08-14T00:00:00"/>
        <d v="1996-09-01T00:00:00"/>
        <d v="1996-09-10T00:00:00"/>
        <d v="1998-11-11T00:00:00"/>
        <d v="1999-02-27T00:00:00"/>
        <d v="1999-03-17T00:00:00"/>
        <d v="1999-03-26T00:00:00"/>
        <d v="2001-05-26T00:00:00"/>
        <d v="2001-09-11T00:00:00"/>
        <d v="2001-09-29T00:00:00"/>
        <d v="2001-10-08T00:00:00"/>
        <d v="2003-12-09T00:00:00"/>
        <d v="2004-03-26T00:00:00"/>
        <d v="2004-04-13T00:00:00"/>
        <d v="2004-04-22T00:00:00"/>
        <d v="2006-06-23T00:00:00"/>
        <d v="2006-10-09T00:00:00"/>
        <d v="2006-10-27T00:00:00"/>
        <d v="2006-11-05T00:00:00"/>
        <d v="2009-01-05T00:00:00"/>
        <d v="2009-04-23T00:00:00"/>
        <d v="2009-05-11T00:00:00"/>
        <d v="2009-05-20T00:00:00"/>
        <d v="1995-10-22T00:00:00"/>
        <d v="1998-05-06T00:00:00"/>
        <d v="2000-11-18T00:00:00"/>
        <d v="2003-06-03T00:00:00"/>
        <d v="2005-12-16T00:00:00"/>
        <d v="2008-06-30T00:00:00"/>
        <d v="1997-03-09T00:00:00"/>
        <d v="1999-09-22T00:00:00"/>
        <d v="2002-04-06T00:00:00"/>
        <d v="2004-10-19T00:00:00"/>
        <d v="2007-05-04T00:00:00"/>
        <d v="2009-11-16T00:00:00"/>
        <d v="1997-01-14T00:00:00"/>
        <d v="1999-07-30T00:00:00"/>
        <d v="2002-02-11T00:00:00"/>
        <d v="2004-08-26T00:00:00"/>
        <d v="2007-03-11T00:00:00"/>
        <d v="2009-09-23T00:00:00"/>
        <d v="1995-06-27T00:00:00"/>
        <d v="1995-07-15T00:00:00"/>
        <d v="1998-01-09T00:00:00"/>
        <d v="1998-01-27T00:00:00"/>
        <d v="2000-07-24T00:00:00"/>
        <d v="2000-08-11T00:00:00"/>
        <d v="2003-02-06T00:00:00"/>
        <d v="2003-02-24T00:00:00"/>
        <d v="2005-08-21T00:00:00"/>
        <d v="2005-09-08T00:00:00"/>
        <d v="2008-03-05T00:00:00"/>
        <d v="2008-03-23T00:00:00"/>
        <d v="1995-02-21T00:00:00"/>
        <d v="1997-09-05T00:00:00"/>
        <d v="2000-03-20T00:00:00"/>
        <d v="2002-10-03T00:00:00"/>
        <d v="2005-04-17T00:00:00"/>
        <d v="2007-10-31T00:00:00"/>
        <d v="1995-09-25T00:00:00"/>
        <d v="1998-04-09T00:00:00"/>
        <d v="2000-10-22T00:00:00"/>
        <d v="2003-05-07T00:00:00"/>
        <d v="2005-11-19T00:00:00"/>
        <d v="2008-06-03T00:00:00"/>
        <d v="1996-11-12T00:00:00"/>
        <d v="1996-12-09T00:00:00"/>
        <d v="1999-05-28T00:00:00"/>
        <d v="1999-06-24T00:00:00"/>
        <d v="2001-12-10T00:00:00"/>
        <d v="2002-01-06T00:00:00"/>
        <d v="2004-06-24T00:00:00"/>
        <d v="2004-07-21T00:00:00"/>
        <d v="2007-01-07T00:00:00"/>
        <d v="2007-02-03T00:00:00"/>
        <d v="2009-07-22T00:00:00"/>
        <d v="2009-08-18T00:00:00"/>
        <d v="1995-02-12T00:00:00"/>
        <d v="1995-03-20T00:00:00"/>
        <d v="1996-02-25T00:00:00"/>
        <d v="1997-08-27T00:00:00"/>
        <d v="1997-10-02T00:00:00"/>
        <d v="1998-09-09T00:00:00"/>
        <d v="2000-03-11T00:00:00"/>
        <d v="2000-04-16T00:00:00"/>
        <d v="2001-03-24T00:00:00"/>
        <d v="2002-09-24T00:00:00"/>
        <d v="2002-10-30T00:00:00"/>
        <d v="2003-10-07T00:00:00"/>
        <d v="2005-04-08T00:00:00"/>
        <d v="2005-05-14T00:00:00"/>
        <d v="2006-04-21T00:00:00"/>
        <d v="2007-10-22T00:00:00"/>
        <d v="2007-11-27T00:00:00"/>
        <d v="2008-11-03T00:00:00"/>
        <d v="1995-04-07T00:00:00"/>
        <d v="1995-04-16T00:00:00"/>
        <d v="1995-05-04T00:00:00"/>
        <d v="1997-10-20T00:00:00"/>
        <d v="1997-10-29T00:00:00"/>
        <d v="1997-11-16T00:00:00"/>
        <d v="2000-05-04T00:00:00"/>
        <d v="2000-05-13T00:00:00"/>
        <d v="2000-05-31T00:00:00"/>
        <d v="2002-11-17T00:00:00"/>
        <d v="2002-11-26T00:00:00"/>
        <d v="2002-12-14T00:00:00"/>
        <d v="2005-06-01T00:00:00"/>
        <d v="2005-06-10T00:00:00"/>
        <d v="2005-06-28T00:00:00"/>
        <d v="2007-12-15T00:00:00"/>
        <d v="2007-12-24T00:00:00"/>
        <d v="2008-01-11T00:00:00"/>
        <d v="1996-11-21T00:00:00"/>
        <d v="1996-11-30T00:00:00"/>
        <d v="1996-12-18T00:00:00"/>
        <d v="1996-12-27T00:00:00"/>
        <d v="1997-01-05T00:00:00"/>
        <d v="1999-06-06T00:00:00"/>
        <d v="1999-06-15T00:00:00"/>
        <d v="1999-07-03T00:00:00"/>
        <d v="1999-07-12T00:00:00"/>
        <d v="1999-07-21T00:00:00"/>
        <d v="2001-12-19T00:00:00"/>
        <d v="2001-12-28T00:00:00"/>
        <d v="2002-01-15T00:00:00"/>
        <d v="2002-01-24T00:00:00"/>
        <d v="2002-02-02T00:00:00"/>
        <d v="2004-07-03T00:00:00"/>
        <d v="2004-07-12T00:00:00"/>
        <d v="2004-07-30T00:00:00"/>
        <d v="2004-08-08T00:00:00"/>
        <d v="2004-08-17T00:00:00"/>
        <d v="2007-01-16T00:00:00"/>
        <d v="2007-01-25T00:00:00"/>
        <d v="2007-02-12T00:00:00"/>
        <d v="2007-02-21T00:00:00"/>
        <d v="2007-03-02T00:00:00"/>
        <d v="2009-07-31T00:00:00"/>
        <d v="2009-08-09T00:00:00"/>
        <d v="2009-08-27T00:00:00"/>
        <d v="2009-09-05T00:00:00"/>
        <d v="2009-09-14T00:00:00"/>
        <d v="1996-05-25T00:00:00"/>
        <d v="1998-12-08T00:00:00"/>
        <d v="2001-06-22T00:00:00"/>
        <d v="2004-01-05T00:00:00"/>
        <d v="2006-07-20T00:00:00"/>
        <d v="2009-02-01T00:00:00"/>
        <d v="1995-01-16T00:00:00"/>
        <d v="1995-01-25T00:00:00"/>
        <d v="1995-03-02T00:00:00"/>
        <d v="1995-03-29T00:00:00"/>
        <d v="1996-03-05T00:00:00"/>
        <d v="1997-07-31T00:00:00"/>
        <d v="1997-08-09T00:00:00"/>
        <d v="1997-09-14T00:00:00"/>
        <d v="1997-10-11T00:00:00"/>
        <d v="1998-09-18T00:00:00"/>
        <d v="2000-02-13T00:00:00"/>
        <d v="2000-02-22T00:00:00"/>
        <d v="2000-03-29T00:00:00"/>
        <d v="2000-04-25T00:00:00"/>
        <d v="2001-04-02T00:00:00"/>
        <d v="2002-08-28T00:00:00"/>
        <d v="2002-09-06T00:00:00"/>
        <d v="2002-10-12T00:00:00"/>
        <d v="2002-11-08T00:00:00"/>
        <d v="2003-10-16T00:00:00"/>
        <d v="2005-03-12T00:00:00"/>
        <d v="2005-03-21T00:00:00"/>
        <d v="2005-04-26T00:00:00"/>
        <d v="2005-05-23T00:00:00"/>
        <d v="2006-04-30T00:00:00"/>
        <d v="2007-09-25T00:00:00"/>
        <d v="2007-10-04T00:00:00"/>
        <d v="2007-11-09T00:00:00"/>
        <d v="2007-12-06T00:00:00"/>
        <d v="2008-11-12T00:00:00"/>
        <d v="1995-04-25T00:00:00"/>
        <d v="1997-11-07T00:00:00"/>
        <d v="2000-05-22T00:00:00"/>
        <d v="2002-12-05T00:00:00"/>
        <d v="2005-06-19T00:00:00"/>
        <d v="2008-01-02T00:00:00"/>
      </sharedItems>
    </cacheField>
    <cacheField name="Fatura No" numFmtId="167">
      <sharedItems containsSemiMixedTypes="0" containsString="0" containsNumber="1" containsInteger="1" minValue="126577112" maxValue="9942718595"/>
    </cacheField>
    <cacheField name="Kodu" numFmtId="168">
      <sharedItems containsSemiMixedTypes="0" containsString="0" containsNumber="1" containsInteger="1" minValue="12" maxValue="49"/>
    </cacheField>
    <cacheField name="Adı Soyadı" numFmtId="0">
      <sharedItems count="30">
        <s v="ADİL KAYSUK"/>
        <s v="BURHAN DAĞLAR"/>
        <s v="DERYA CANTÜRK"/>
        <s v="MERAL HAKTANIR"/>
        <s v="ALEV GÜÇLÜ"/>
        <s v="KERİM BAHTIKARA"/>
        <s v="MELİKE DEMİRKOL"/>
        <s v="CELAL KOCABAŞ"/>
        <s v="DEMİR SEKER"/>
        <s v="ERHAN GÜVEN"/>
        <s v="ERSİN GİRİK"/>
        <s v="JALE ÇİÇEK"/>
        <s v="PETEK ERCAN"/>
        <s v="FATİH GÜÇ"/>
        <s v="VAHİT ŞANLI"/>
        <s v="ŞENER YİĞİT"/>
        <s v="GÜNGÖR TOPAL"/>
        <s v="ASLI DEMİRBİLEK"/>
        <s v="KEMAL GÖKDEMİR"/>
        <s v="MELAHAT KİPER"/>
        <s v="CEVDET TOZKOPARAN"/>
        <s v="MİTHAT GÜLEŞÇİ"/>
        <s v="TARKAN KARA"/>
        <s v="ÇETİN SARPKAYA"/>
        <s v="ŞENER ER"/>
        <s v="TEVFİK SEYHAN"/>
        <s v="TURAN GÖKÇE"/>
        <s v="YAŞAR GÜNDÜZ"/>
        <s v="EMİNE YILDIZ"/>
        <s v="EMEL TOPKARA"/>
      </sharedItems>
    </cacheField>
    <cacheField name="Ürün Kodu" numFmtId="169">
      <sharedItems containsSemiMixedTypes="0" containsString="0" containsNumber="1" containsInteger="1" minValue="195" maxValue="909"/>
    </cacheField>
    <cacheField name="Grubu" numFmtId="0">
      <sharedItems count="7">
        <s v="KAHVALTILIK"/>
        <s v="BAKLİYAT"/>
        <s v="YAĞLAR"/>
        <s v="CİKLET"/>
        <s v="KONSERVE"/>
        <s v="BİSKÜVİ"/>
        <s v="ÇİKOLATA"/>
      </sharedItems>
    </cacheField>
    <cacheField name="Birim" numFmtId="0">
      <sharedItems count="3">
        <s v="ADET"/>
        <s v="KG"/>
        <s v="PAKET"/>
      </sharedItems>
    </cacheField>
    <cacheField name="Adet" numFmtId="0">
      <sharedItems containsSemiMixedTypes="0" containsString="0" containsNumber="1" containsInteger="1" minValue="10" maxValue="99"/>
    </cacheField>
    <cacheField name="Birim Fiyatı" numFmtId="3">
      <sharedItems containsSemiMixedTypes="0" containsString="0" containsNumber="1" containsInteger="1" minValue="1" maxValue="90"/>
    </cacheField>
    <cacheField name="Tutar" numFmtId="3">
      <sharedItems containsSemiMixedTypes="0" containsString="0" containsNumber="1" containsInteger="1" minValue="11" maxValue="8730"/>
    </cacheField>
    <cacheField name="Ödeme Tipi" numFmtId="0">
      <sharedItems count="3">
        <s v="ÇEK"/>
        <s v="SENET"/>
        <s v="PEŞİN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9">
  <r>
    <n v="1"/>
    <x v="0"/>
    <x v="0"/>
    <x v="0"/>
    <n v="7760766503"/>
    <n v="14"/>
    <x v="0"/>
    <n v="240"/>
    <x v="0"/>
    <x v="0"/>
    <n v="97"/>
    <n v="45"/>
    <n v="4365"/>
    <x v="0"/>
  </r>
  <r>
    <n v="2"/>
    <x v="0"/>
    <x v="0"/>
    <x v="1"/>
    <n v="7760766503"/>
    <n v="14"/>
    <x v="0"/>
    <n v="240"/>
    <x v="0"/>
    <x v="0"/>
    <n v="92"/>
    <n v="45"/>
    <n v="4140"/>
    <x v="0"/>
  </r>
  <r>
    <n v="3"/>
    <x v="0"/>
    <x v="0"/>
    <x v="2"/>
    <n v="7760766503"/>
    <n v="14"/>
    <x v="0"/>
    <n v="240"/>
    <x v="0"/>
    <x v="0"/>
    <n v="88"/>
    <n v="45"/>
    <n v="3960"/>
    <x v="0"/>
  </r>
  <r>
    <n v="4"/>
    <x v="0"/>
    <x v="0"/>
    <x v="3"/>
    <n v="7760766503"/>
    <n v="14"/>
    <x v="0"/>
    <n v="240"/>
    <x v="0"/>
    <x v="0"/>
    <n v="61"/>
    <n v="45"/>
    <n v="2745"/>
    <x v="0"/>
  </r>
  <r>
    <n v="5"/>
    <x v="0"/>
    <x v="0"/>
    <x v="4"/>
    <n v="7760766503"/>
    <n v="14"/>
    <x v="0"/>
    <n v="240"/>
    <x v="0"/>
    <x v="0"/>
    <n v="84"/>
    <n v="45"/>
    <n v="3780"/>
    <x v="0"/>
  </r>
  <r>
    <n v="6"/>
    <x v="0"/>
    <x v="0"/>
    <x v="5"/>
    <n v="7760766503"/>
    <n v="42"/>
    <x v="1"/>
    <n v="240"/>
    <x v="0"/>
    <x v="0"/>
    <n v="24"/>
    <n v="45"/>
    <n v="1080"/>
    <x v="0"/>
  </r>
  <r>
    <n v="7"/>
    <x v="1"/>
    <x v="0"/>
    <x v="6"/>
    <n v="5608258929"/>
    <n v="42"/>
    <x v="1"/>
    <n v="521"/>
    <x v="1"/>
    <x v="1"/>
    <n v="49"/>
    <n v="30"/>
    <n v="1470"/>
    <x v="0"/>
  </r>
  <r>
    <n v="8"/>
    <x v="1"/>
    <x v="0"/>
    <x v="7"/>
    <n v="4354550724"/>
    <n v="42"/>
    <x v="1"/>
    <n v="909"/>
    <x v="2"/>
    <x v="0"/>
    <n v="51"/>
    <n v="50"/>
    <n v="2550"/>
    <x v="1"/>
  </r>
  <r>
    <n v="9"/>
    <x v="1"/>
    <x v="0"/>
    <x v="8"/>
    <n v="5608258929"/>
    <n v="42"/>
    <x v="1"/>
    <n v="521"/>
    <x v="1"/>
    <x v="1"/>
    <n v="22"/>
    <n v="30"/>
    <n v="660"/>
    <x v="0"/>
  </r>
  <r>
    <n v="10"/>
    <x v="1"/>
    <x v="0"/>
    <x v="9"/>
    <n v="4354550724"/>
    <n v="14"/>
    <x v="0"/>
    <n v="909"/>
    <x v="2"/>
    <x v="0"/>
    <n v="44"/>
    <n v="50"/>
    <n v="2200"/>
    <x v="1"/>
  </r>
  <r>
    <n v="11"/>
    <x v="1"/>
    <x v="0"/>
    <x v="10"/>
    <n v="5608258929"/>
    <n v="14"/>
    <x v="0"/>
    <n v="521"/>
    <x v="1"/>
    <x v="1"/>
    <n v="43"/>
    <n v="30"/>
    <n v="1290"/>
    <x v="0"/>
  </r>
  <r>
    <n v="12"/>
    <x v="1"/>
    <x v="0"/>
    <x v="11"/>
    <n v="4354550724"/>
    <n v="14"/>
    <x v="0"/>
    <n v="909"/>
    <x v="2"/>
    <x v="0"/>
    <n v="87"/>
    <n v="50"/>
    <n v="4350"/>
    <x v="1"/>
  </r>
  <r>
    <n v="13"/>
    <x v="1"/>
    <x v="0"/>
    <x v="12"/>
    <n v="5608258929"/>
    <n v="14"/>
    <x v="0"/>
    <n v="521"/>
    <x v="1"/>
    <x v="1"/>
    <n v="36"/>
    <n v="30"/>
    <n v="1080"/>
    <x v="0"/>
  </r>
  <r>
    <n v="14"/>
    <x v="1"/>
    <x v="0"/>
    <x v="13"/>
    <n v="4354550724"/>
    <n v="14"/>
    <x v="0"/>
    <n v="909"/>
    <x v="2"/>
    <x v="0"/>
    <n v="70"/>
    <n v="50"/>
    <n v="3500"/>
    <x v="1"/>
  </r>
  <r>
    <n v="15"/>
    <x v="1"/>
    <x v="0"/>
    <x v="14"/>
    <n v="5608258929"/>
    <n v="14"/>
    <x v="0"/>
    <n v="521"/>
    <x v="1"/>
    <x v="1"/>
    <n v="31"/>
    <n v="30"/>
    <n v="930"/>
    <x v="0"/>
  </r>
  <r>
    <n v="16"/>
    <x v="1"/>
    <x v="0"/>
    <x v="15"/>
    <n v="4354550724"/>
    <n v="14"/>
    <x v="0"/>
    <n v="909"/>
    <x v="2"/>
    <x v="0"/>
    <n v="35"/>
    <n v="50"/>
    <n v="1750"/>
    <x v="1"/>
  </r>
  <r>
    <n v="17"/>
    <x v="1"/>
    <x v="0"/>
    <x v="16"/>
    <n v="5608258929"/>
    <n v="14"/>
    <x v="0"/>
    <n v="521"/>
    <x v="1"/>
    <x v="1"/>
    <n v="54"/>
    <n v="30"/>
    <n v="1620"/>
    <x v="0"/>
  </r>
  <r>
    <n v="18"/>
    <x v="1"/>
    <x v="0"/>
    <x v="17"/>
    <n v="4354550724"/>
    <n v="14"/>
    <x v="0"/>
    <n v="909"/>
    <x v="2"/>
    <x v="0"/>
    <n v="34"/>
    <n v="50"/>
    <n v="1700"/>
    <x v="1"/>
  </r>
  <r>
    <n v="19"/>
    <x v="2"/>
    <x v="0"/>
    <x v="18"/>
    <n v="8044117947"/>
    <n v="14"/>
    <x v="0"/>
    <n v="521"/>
    <x v="1"/>
    <x v="1"/>
    <n v="90"/>
    <n v="30"/>
    <n v="2700"/>
    <x v="1"/>
  </r>
  <r>
    <n v="20"/>
    <x v="2"/>
    <x v="0"/>
    <x v="19"/>
    <n v="6420218020"/>
    <n v="28"/>
    <x v="2"/>
    <n v="568"/>
    <x v="3"/>
    <x v="2"/>
    <n v="11"/>
    <n v="1"/>
    <n v="11"/>
    <x v="2"/>
  </r>
  <r>
    <n v="21"/>
    <x v="2"/>
    <x v="0"/>
    <x v="20"/>
    <n v="8044117947"/>
    <n v="28"/>
    <x v="2"/>
    <n v="521"/>
    <x v="1"/>
    <x v="1"/>
    <n v="93"/>
    <n v="30"/>
    <n v="2790"/>
    <x v="1"/>
  </r>
  <r>
    <n v="22"/>
    <x v="2"/>
    <x v="0"/>
    <x v="21"/>
    <n v="6420218020"/>
    <n v="28"/>
    <x v="2"/>
    <n v="568"/>
    <x v="3"/>
    <x v="2"/>
    <n v="20"/>
    <n v="1"/>
    <n v="20"/>
    <x v="2"/>
  </r>
  <r>
    <n v="23"/>
    <x v="2"/>
    <x v="0"/>
    <x v="22"/>
    <n v="8044117947"/>
    <n v="28"/>
    <x v="2"/>
    <n v="521"/>
    <x v="1"/>
    <x v="1"/>
    <n v="24"/>
    <n v="30"/>
    <n v="720"/>
    <x v="1"/>
  </r>
  <r>
    <n v="24"/>
    <x v="2"/>
    <x v="0"/>
    <x v="23"/>
    <n v="6420218020"/>
    <n v="28"/>
    <x v="2"/>
    <n v="568"/>
    <x v="3"/>
    <x v="2"/>
    <n v="59"/>
    <n v="1"/>
    <n v="59"/>
    <x v="2"/>
  </r>
  <r>
    <n v="25"/>
    <x v="2"/>
    <x v="0"/>
    <x v="24"/>
    <n v="8044117947"/>
    <n v="28"/>
    <x v="2"/>
    <n v="521"/>
    <x v="1"/>
    <x v="1"/>
    <n v="41"/>
    <n v="30"/>
    <n v="1230"/>
    <x v="1"/>
  </r>
  <r>
    <n v="26"/>
    <x v="2"/>
    <x v="0"/>
    <x v="25"/>
    <n v="6420218020"/>
    <n v="28"/>
    <x v="2"/>
    <n v="568"/>
    <x v="3"/>
    <x v="2"/>
    <n v="79"/>
    <n v="1"/>
    <n v="79"/>
    <x v="2"/>
  </r>
  <r>
    <n v="27"/>
    <x v="2"/>
    <x v="0"/>
    <x v="26"/>
    <n v="8044117947"/>
    <n v="28"/>
    <x v="2"/>
    <n v="521"/>
    <x v="1"/>
    <x v="1"/>
    <n v="13"/>
    <n v="30"/>
    <n v="390"/>
    <x v="1"/>
  </r>
  <r>
    <n v="28"/>
    <x v="2"/>
    <x v="0"/>
    <x v="27"/>
    <n v="6420218020"/>
    <n v="28"/>
    <x v="2"/>
    <n v="568"/>
    <x v="3"/>
    <x v="2"/>
    <n v="70"/>
    <n v="1"/>
    <n v="70"/>
    <x v="2"/>
  </r>
  <r>
    <n v="29"/>
    <x v="2"/>
    <x v="0"/>
    <x v="28"/>
    <n v="8044117947"/>
    <n v="28"/>
    <x v="2"/>
    <n v="521"/>
    <x v="1"/>
    <x v="1"/>
    <n v="91"/>
    <n v="30"/>
    <n v="2730"/>
    <x v="1"/>
  </r>
  <r>
    <n v="30"/>
    <x v="2"/>
    <x v="0"/>
    <x v="29"/>
    <n v="6420218020"/>
    <n v="28"/>
    <x v="2"/>
    <n v="568"/>
    <x v="3"/>
    <x v="2"/>
    <n v="42"/>
    <n v="1"/>
    <n v="42"/>
    <x v="2"/>
  </r>
  <r>
    <n v="31"/>
    <x v="3"/>
    <x v="0"/>
    <x v="30"/>
    <n v="5829621805"/>
    <n v="28"/>
    <x v="2"/>
    <n v="548"/>
    <x v="2"/>
    <x v="0"/>
    <n v="18"/>
    <n v="90"/>
    <n v="1620"/>
    <x v="2"/>
  </r>
  <r>
    <n v="32"/>
    <x v="3"/>
    <x v="1"/>
    <x v="31"/>
    <n v="5829621805"/>
    <n v="28"/>
    <x v="2"/>
    <n v="548"/>
    <x v="2"/>
    <x v="0"/>
    <n v="16"/>
    <n v="90"/>
    <n v="1440"/>
    <x v="2"/>
  </r>
  <r>
    <n v="33"/>
    <x v="3"/>
    <x v="0"/>
    <x v="32"/>
    <n v="5829621805"/>
    <n v="28"/>
    <x v="2"/>
    <n v="548"/>
    <x v="2"/>
    <x v="0"/>
    <n v="63"/>
    <n v="90"/>
    <n v="5670"/>
    <x v="2"/>
  </r>
  <r>
    <n v="34"/>
    <x v="3"/>
    <x v="0"/>
    <x v="33"/>
    <n v="5829621805"/>
    <n v="28"/>
    <x v="2"/>
    <n v="548"/>
    <x v="2"/>
    <x v="0"/>
    <n v="66"/>
    <n v="90"/>
    <n v="5940"/>
    <x v="2"/>
  </r>
  <r>
    <n v="35"/>
    <x v="3"/>
    <x v="0"/>
    <x v="34"/>
    <n v="5829621805"/>
    <n v="14"/>
    <x v="0"/>
    <n v="548"/>
    <x v="2"/>
    <x v="0"/>
    <n v="25"/>
    <n v="90"/>
    <n v="2250"/>
    <x v="2"/>
  </r>
  <r>
    <n v="36"/>
    <x v="3"/>
    <x v="0"/>
    <x v="35"/>
    <n v="5829621805"/>
    <n v="14"/>
    <x v="0"/>
    <n v="548"/>
    <x v="2"/>
    <x v="0"/>
    <n v="33"/>
    <n v="90"/>
    <n v="2970"/>
    <x v="2"/>
  </r>
  <r>
    <n v="37"/>
    <x v="4"/>
    <x v="0"/>
    <x v="36"/>
    <n v="7451775707"/>
    <n v="14"/>
    <x v="0"/>
    <n v="299"/>
    <x v="3"/>
    <x v="2"/>
    <n v="73"/>
    <n v="2"/>
    <n v="146"/>
    <x v="1"/>
  </r>
  <r>
    <n v="38"/>
    <x v="4"/>
    <x v="2"/>
    <x v="37"/>
    <n v="7451775707"/>
    <n v="14"/>
    <x v="0"/>
    <n v="299"/>
    <x v="3"/>
    <x v="2"/>
    <n v="87"/>
    <n v="2"/>
    <n v="174"/>
    <x v="1"/>
  </r>
  <r>
    <n v="39"/>
    <x v="4"/>
    <x v="2"/>
    <x v="38"/>
    <n v="7451775707"/>
    <n v="14"/>
    <x v="0"/>
    <n v="299"/>
    <x v="3"/>
    <x v="2"/>
    <n v="57"/>
    <n v="2"/>
    <n v="114"/>
    <x v="1"/>
  </r>
  <r>
    <n v="40"/>
    <x v="4"/>
    <x v="2"/>
    <x v="39"/>
    <n v="7451775707"/>
    <n v="14"/>
    <x v="0"/>
    <n v="299"/>
    <x v="3"/>
    <x v="2"/>
    <n v="38"/>
    <n v="2"/>
    <n v="76"/>
    <x v="1"/>
  </r>
  <r>
    <n v="41"/>
    <x v="4"/>
    <x v="2"/>
    <x v="40"/>
    <n v="7451775707"/>
    <n v="14"/>
    <x v="0"/>
    <n v="299"/>
    <x v="3"/>
    <x v="2"/>
    <n v="42"/>
    <n v="2"/>
    <n v="84"/>
    <x v="1"/>
  </r>
  <r>
    <n v="42"/>
    <x v="4"/>
    <x v="2"/>
    <x v="41"/>
    <n v="7451775707"/>
    <n v="14"/>
    <x v="0"/>
    <n v="299"/>
    <x v="3"/>
    <x v="2"/>
    <n v="49"/>
    <n v="2"/>
    <n v="98"/>
    <x v="1"/>
  </r>
  <r>
    <n v="43"/>
    <x v="5"/>
    <x v="2"/>
    <x v="42"/>
    <n v="4998051720"/>
    <n v="14"/>
    <x v="0"/>
    <n v="195"/>
    <x v="4"/>
    <x v="0"/>
    <n v="24"/>
    <n v="60"/>
    <n v="1440"/>
    <x v="1"/>
  </r>
  <r>
    <n v="44"/>
    <x v="5"/>
    <x v="2"/>
    <x v="43"/>
    <n v="576249390"/>
    <n v="14"/>
    <x v="0"/>
    <n v="548"/>
    <x v="2"/>
    <x v="0"/>
    <n v="49"/>
    <n v="90"/>
    <n v="4410"/>
    <x v="0"/>
  </r>
  <r>
    <n v="45"/>
    <x v="5"/>
    <x v="2"/>
    <x v="44"/>
    <n v="8802618951"/>
    <n v="14"/>
    <x v="0"/>
    <n v="534"/>
    <x v="0"/>
    <x v="0"/>
    <n v="75"/>
    <n v="25"/>
    <n v="1875"/>
    <x v="1"/>
  </r>
  <r>
    <n v="46"/>
    <x v="5"/>
    <x v="2"/>
    <x v="45"/>
    <n v="4998051720"/>
    <n v="14"/>
    <x v="0"/>
    <n v="195"/>
    <x v="4"/>
    <x v="0"/>
    <n v="47"/>
    <n v="60"/>
    <n v="2820"/>
    <x v="1"/>
  </r>
  <r>
    <n v="47"/>
    <x v="5"/>
    <x v="0"/>
    <x v="46"/>
    <n v="576249390"/>
    <n v="14"/>
    <x v="0"/>
    <n v="548"/>
    <x v="2"/>
    <x v="0"/>
    <n v="50"/>
    <n v="90"/>
    <n v="4500"/>
    <x v="0"/>
  </r>
  <r>
    <n v="48"/>
    <x v="5"/>
    <x v="0"/>
    <x v="47"/>
    <n v="8802618951"/>
    <n v="14"/>
    <x v="0"/>
    <n v="534"/>
    <x v="0"/>
    <x v="0"/>
    <n v="25"/>
    <n v="25"/>
    <n v="625"/>
    <x v="1"/>
  </r>
  <r>
    <n v="49"/>
    <x v="5"/>
    <x v="0"/>
    <x v="48"/>
    <n v="4998051720"/>
    <n v="14"/>
    <x v="0"/>
    <n v="195"/>
    <x v="4"/>
    <x v="0"/>
    <n v="42"/>
    <n v="60"/>
    <n v="2520"/>
    <x v="1"/>
  </r>
  <r>
    <n v="50"/>
    <x v="5"/>
    <x v="0"/>
    <x v="49"/>
    <n v="576249390"/>
    <n v="14"/>
    <x v="0"/>
    <n v="548"/>
    <x v="2"/>
    <x v="0"/>
    <n v="36"/>
    <n v="90"/>
    <n v="3240"/>
    <x v="0"/>
  </r>
  <r>
    <n v="51"/>
    <x v="5"/>
    <x v="0"/>
    <x v="50"/>
    <n v="8802618951"/>
    <n v="28"/>
    <x v="2"/>
    <n v="534"/>
    <x v="0"/>
    <x v="0"/>
    <n v="46"/>
    <n v="25"/>
    <n v="1150"/>
    <x v="1"/>
  </r>
  <r>
    <n v="52"/>
    <x v="5"/>
    <x v="0"/>
    <x v="51"/>
    <n v="4998051720"/>
    <n v="28"/>
    <x v="2"/>
    <n v="195"/>
    <x v="4"/>
    <x v="0"/>
    <n v="41"/>
    <n v="60"/>
    <n v="2460"/>
    <x v="1"/>
  </r>
  <r>
    <n v="53"/>
    <x v="5"/>
    <x v="0"/>
    <x v="52"/>
    <n v="576249390"/>
    <n v="28"/>
    <x v="2"/>
    <n v="548"/>
    <x v="2"/>
    <x v="0"/>
    <n v="95"/>
    <n v="90"/>
    <n v="8550"/>
    <x v="0"/>
  </r>
  <r>
    <n v="54"/>
    <x v="5"/>
    <x v="0"/>
    <x v="53"/>
    <n v="8802618951"/>
    <n v="28"/>
    <x v="2"/>
    <n v="534"/>
    <x v="0"/>
    <x v="0"/>
    <n v="58"/>
    <n v="25"/>
    <n v="1450"/>
    <x v="1"/>
  </r>
  <r>
    <n v="55"/>
    <x v="5"/>
    <x v="0"/>
    <x v="54"/>
    <n v="4998051720"/>
    <n v="28"/>
    <x v="2"/>
    <n v="195"/>
    <x v="4"/>
    <x v="0"/>
    <n v="45"/>
    <n v="60"/>
    <n v="2700"/>
    <x v="1"/>
  </r>
  <r>
    <n v="56"/>
    <x v="5"/>
    <x v="0"/>
    <x v="55"/>
    <n v="576249390"/>
    <n v="28"/>
    <x v="2"/>
    <n v="548"/>
    <x v="2"/>
    <x v="0"/>
    <n v="42"/>
    <n v="90"/>
    <n v="3780"/>
    <x v="0"/>
  </r>
  <r>
    <n v="57"/>
    <x v="5"/>
    <x v="0"/>
    <x v="56"/>
    <n v="8802618951"/>
    <n v="28"/>
    <x v="2"/>
    <n v="534"/>
    <x v="0"/>
    <x v="0"/>
    <n v="92"/>
    <n v="25"/>
    <n v="2300"/>
    <x v="1"/>
  </r>
  <r>
    <n v="58"/>
    <x v="5"/>
    <x v="0"/>
    <x v="57"/>
    <n v="4998051720"/>
    <n v="28"/>
    <x v="2"/>
    <n v="195"/>
    <x v="4"/>
    <x v="0"/>
    <n v="46"/>
    <n v="60"/>
    <n v="2760"/>
    <x v="1"/>
  </r>
  <r>
    <n v="59"/>
    <x v="5"/>
    <x v="0"/>
    <x v="58"/>
    <n v="576249390"/>
    <n v="28"/>
    <x v="2"/>
    <n v="548"/>
    <x v="2"/>
    <x v="0"/>
    <n v="43"/>
    <n v="90"/>
    <n v="3870"/>
    <x v="0"/>
  </r>
  <r>
    <n v="60"/>
    <x v="5"/>
    <x v="0"/>
    <x v="59"/>
    <n v="8802618951"/>
    <n v="28"/>
    <x v="2"/>
    <n v="534"/>
    <x v="0"/>
    <x v="0"/>
    <n v="49"/>
    <n v="25"/>
    <n v="1225"/>
    <x v="1"/>
  </r>
  <r>
    <n v="61"/>
    <x v="6"/>
    <x v="0"/>
    <x v="60"/>
    <n v="705806132"/>
    <n v="28"/>
    <x v="2"/>
    <n v="454"/>
    <x v="5"/>
    <x v="0"/>
    <n v="68"/>
    <n v="15"/>
    <n v="1020"/>
    <x v="2"/>
  </r>
  <r>
    <n v="62"/>
    <x v="6"/>
    <x v="0"/>
    <x v="61"/>
    <n v="2368948815"/>
    <n v="28"/>
    <x v="2"/>
    <n v="299"/>
    <x v="3"/>
    <x v="2"/>
    <n v="69"/>
    <n v="2"/>
    <n v="138"/>
    <x v="2"/>
  </r>
  <r>
    <n v="63"/>
    <x v="6"/>
    <x v="0"/>
    <x v="62"/>
    <n v="9156246307"/>
    <n v="28"/>
    <x v="2"/>
    <n v="807"/>
    <x v="0"/>
    <x v="0"/>
    <n v="35"/>
    <n v="25"/>
    <n v="875"/>
    <x v="1"/>
  </r>
  <r>
    <n v="64"/>
    <x v="6"/>
    <x v="0"/>
    <x v="63"/>
    <n v="5440195984"/>
    <n v="28"/>
    <x v="2"/>
    <n v="359"/>
    <x v="0"/>
    <x v="0"/>
    <n v="92"/>
    <n v="25"/>
    <n v="2300"/>
    <x v="0"/>
  </r>
  <r>
    <n v="65"/>
    <x v="6"/>
    <x v="0"/>
    <x v="64"/>
    <n v="8833880376"/>
    <n v="28"/>
    <x v="2"/>
    <n v="240"/>
    <x v="0"/>
    <x v="0"/>
    <n v="66"/>
    <n v="45"/>
    <n v="2970"/>
    <x v="2"/>
  </r>
  <r>
    <n v="66"/>
    <x v="6"/>
    <x v="0"/>
    <x v="65"/>
    <n v="9814911035"/>
    <n v="14"/>
    <x v="0"/>
    <n v="521"/>
    <x v="1"/>
    <x v="1"/>
    <n v="27"/>
    <n v="30"/>
    <n v="810"/>
    <x v="2"/>
  </r>
  <r>
    <n v="67"/>
    <x v="6"/>
    <x v="0"/>
    <x v="66"/>
    <n v="705806132"/>
    <n v="14"/>
    <x v="0"/>
    <n v="454"/>
    <x v="5"/>
    <x v="0"/>
    <n v="64"/>
    <n v="15"/>
    <n v="960"/>
    <x v="2"/>
  </r>
  <r>
    <n v="68"/>
    <x v="6"/>
    <x v="0"/>
    <x v="67"/>
    <n v="2368948815"/>
    <n v="14"/>
    <x v="0"/>
    <n v="299"/>
    <x v="3"/>
    <x v="2"/>
    <n v="59"/>
    <n v="2"/>
    <n v="118"/>
    <x v="2"/>
  </r>
  <r>
    <n v="69"/>
    <x v="6"/>
    <x v="0"/>
    <x v="68"/>
    <n v="9156246307"/>
    <n v="14"/>
    <x v="0"/>
    <n v="807"/>
    <x v="0"/>
    <x v="0"/>
    <n v="52"/>
    <n v="25"/>
    <n v="1300"/>
    <x v="1"/>
  </r>
  <r>
    <n v="70"/>
    <x v="6"/>
    <x v="0"/>
    <x v="69"/>
    <n v="5440195984"/>
    <n v="14"/>
    <x v="0"/>
    <n v="359"/>
    <x v="0"/>
    <x v="0"/>
    <n v="11"/>
    <n v="25"/>
    <n v="275"/>
    <x v="0"/>
  </r>
  <r>
    <n v="71"/>
    <x v="6"/>
    <x v="0"/>
    <x v="70"/>
    <n v="8833880376"/>
    <n v="14"/>
    <x v="0"/>
    <n v="240"/>
    <x v="0"/>
    <x v="0"/>
    <n v="89"/>
    <n v="45"/>
    <n v="4005"/>
    <x v="2"/>
  </r>
  <r>
    <n v="72"/>
    <x v="6"/>
    <x v="0"/>
    <x v="71"/>
    <n v="9814911035"/>
    <n v="38"/>
    <x v="3"/>
    <n v="521"/>
    <x v="1"/>
    <x v="1"/>
    <n v="77"/>
    <n v="30"/>
    <n v="2310"/>
    <x v="2"/>
  </r>
  <r>
    <n v="73"/>
    <x v="6"/>
    <x v="0"/>
    <x v="72"/>
    <n v="705806132"/>
    <n v="38"/>
    <x v="3"/>
    <n v="454"/>
    <x v="5"/>
    <x v="0"/>
    <n v="80"/>
    <n v="15"/>
    <n v="1200"/>
    <x v="2"/>
  </r>
  <r>
    <n v="74"/>
    <x v="6"/>
    <x v="0"/>
    <x v="73"/>
    <n v="2368948815"/>
    <n v="38"/>
    <x v="3"/>
    <n v="299"/>
    <x v="3"/>
    <x v="2"/>
    <n v="66"/>
    <n v="2"/>
    <n v="132"/>
    <x v="2"/>
  </r>
  <r>
    <n v="75"/>
    <x v="6"/>
    <x v="0"/>
    <x v="74"/>
    <n v="9156246307"/>
    <n v="38"/>
    <x v="3"/>
    <n v="807"/>
    <x v="0"/>
    <x v="0"/>
    <n v="30"/>
    <n v="25"/>
    <n v="750"/>
    <x v="1"/>
  </r>
  <r>
    <n v="76"/>
    <x v="6"/>
    <x v="0"/>
    <x v="75"/>
    <n v="5440195984"/>
    <n v="38"/>
    <x v="3"/>
    <n v="359"/>
    <x v="0"/>
    <x v="0"/>
    <n v="73"/>
    <n v="25"/>
    <n v="1825"/>
    <x v="0"/>
  </r>
  <r>
    <n v="77"/>
    <x v="6"/>
    <x v="0"/>
    <x v="76"/>
    <n v="8833880376"/>
    <n v="38"/>
    <x v="3"/>
    <n v="240"/>
    <x v="0"/>
    <x v="0"/>
    <n v="92"/>
    <n v="45"/>
    <n v="4140"/>
    <x v="2"/>
  </r>
  <r>
    <n v="78"/>
    <x v="6"/>
    <x v="0"/>
    <x v="77"/>
    <n v="9814911035"/>
    <n v="38"/>
    <x v="3"/>
    <n v="521"/>
    <x v="1"/>
    <x v="1"/>
    <n v="98"/>
    <n v="30"/>
    <n v="2940"/>
    <x v="2"/>
  </r>
  <r>
    <n v="79"/>
    <x v="6"/>
    <x v="3"/>
    <x v="78"/>
    <n v="705806132"/>
    <n v="38"/>
    <x v="3"/>
    <n v="454"/>
    <x v="5"/>
    <x v="0"/>
    <n v="22"/>
    <n v="15"/>
    <n v="330"/>
    <x v="2"/>
  </r>
  <r>
    <n v="80"/>
    <x v="6"/>
    <x v="3"/>
    <x v="79"/>
    <n v="2368948815"/>
    <n v="38"/>
    <x v="3"/>
    <n v="299"/>
    <x v="3"/>
    <x v="2"/>
    <n v="92"/>
    <n v="2"/>
    <n v="184"/>
    <x v="2"/>
  </r>
  <r>
    <n v="81"/>
    <x v="6"/>
    <x v="3"/>
    <x v="80"/>
    <n v="9156246307"/>
    <n v="14"/>
    <x v="0"/>
    <n v="807"/>
    <x v="0"/>
    <x v="0"/>
    <n v="92"/>
    <n v="25"/>
    <n v="2300"/>
    <x v="1"/>
  </r>
  <r>
    <n v="82"/>
    <x v="6"/>
    <x v="3"/>
    <x v="81"/>
    <n v="5440195984"/>
    <n v="14"/>
    <x v="0"/>
    <n v="359"/>
    <x v="0"/>
    <x v="0"/>
    <n v="35"/>
    <n v="25"/>
    <n v="875"/>
    <x v="0"/>
  </r>
  <r>
    <n v="83"/>
    <x v="6"/>
    <x v="3"/>
    <x v="82"/>
    <n v="8833880376"/>
    <n v="14"/>
    <x v="0"/>
    <n v="240"/>
    <x v="0"/>
    <x v="0"/>
    <n v="75"/>
    <n v="45"/>
    <n v="3375"/>
    <x v="2"/>
  </r>
  <r>
    <n v="84"/>
    <x v="6"/>
    <x v="3"/>
    <x v="83"/>
    <n v="9814911035"/>
    <n v="14"/>
    <x v="0"/>
    <n v="521"/>
    <x v="1"/>
    <x v="1"/>
    <n v="32"/>
    <n v="30"/>
    <n v="960"/>
    <x v="2"/>
  </r>
  <r>
    <n v="85"/>
    <x v="6"/>
    <x v="3"/>
    <x v="84"/>
    <n v="705806132"/>
    <n v="14"/>
    <x v="0"/>
    <n v="454"/>
    <x v="5"/>
    <x v="0"/>
    <n v="51"/>
    <n v="15"/>
    <n v="765"/>
    <x v="2"/>
  </r>
  <r>
    <n v="86"/>
    <x v="6"/>
    <x v="3"/>
    <x v="85"/>
    <n v="2368948815"/>
    <n v="14"/>
    <x v="0"/>
    <n v="299"/>
    <x v="3"/>
    <x v="2"/>
    <n v="18"/>
    <n v="2"/>
    <n v="36"/>
    <x v="2"/>
  </r>
  <r>
    <n v="87"/>
    <x v="6"/>
    <x v="3"/>
    <x v="86"/>
    <n v="9156246307"/>
    <n v="14"/>
    <x v="0"/>
    <n v="807"/>
    <x v="0"/>
    <x v="0"/>
    <n v="86"/>
    <n v="25"/>
    <n v="2150"/>
    <x v="1"/>
  </r>
  <r>
    <n v="88"/>
    <x v="6"/>
    <x v="3"/>
    <x v="87"/>
    <n v="5440195984"/>
    <n v="14"/>
    <x v="0"/>
    <n v="359"/>
    <x v="0"/>
    <x v="0"/>
    <n v="93"/>
    <n v="25"/>
    <n v="2325"/>
    <x v="0"/>
  </r>
  <r>
    <n v="89"/>
    <x v="6"/>
    <x v="3"/>
    <x v="88"/>
    <n v="8833880376"/>
    <n v="14"/>
    <x v="0"/>
    <n v="240"/>
    <x v="0"/>
    <x v="0"/>
    <n v="10"/>
    <n v="45"/>
    <n v="450"/>
    <x v="2"/>
  </r>
  <r>
    <n v="90"/>
    <x v="6"/>
    <x v="3"/>
    <x v="89"/>
    <n v="9814911035"/>
    <n v="14"/>
    <x v="0"/>
    <n v="521"/>
    <x v="1"/>
    <x v="1"/>
    <n v="75"/>
    <n v="30"/>
    <n v="2250"/>
    <x v="2"/>
  </r>
  <r>
    <n v="91"/>
    <x v="6"/>
    <x v="3"/>
    <x v="90"/>
    <n v="705806132"/>
    <n v="28"/>
    <x v="2"/>
    <n v="454"/>
    <x v="5"/>
    <x v="0"/>
    <n v="23"/>
    <n v="15"/>
    <n v="345"/>
    <x v="2"/>
  </r>
  <r>
    <n v="92"/>
    <x v="6"/>
    <x v="3"/>
    <x v="91"/>
    <n v="2368948815"/>
    <n v="28"/>
    <x v="2"/>
    <n v="299"/>
    <x v="3"/>
    <x v="2"/>
    <n v="49"/>
    <n v="2"/>
    <n v="98"/>
    <x v="2"/>
  </r>
  <r>
    <n v="93"/>
    <x v="6"/>
    <x v="0"/>
    <x v="92"/>
    <n v="9156246307"/>
    <n v="28"/>
    <x v="2"/>
    <n v="807"/>
    <x v="0"/>
    <x v="0"/>
    <n v="80"/>
    <n v="25"/>
    <n v="2000"/>
    <x v="1"/>
  </r>
  <r>
    <n v="94"/>
    <x v="6"/>
    <x v="0"/>
    <x v="93"/>
    <n v="5440195984"/>
    <n v="28"/>
    <x v="2"/>
    <n v="359"/>
    <x v="0"/>
    <x v="0"/>
    <n v="28"/>
    <n v="25"/>
    <n v="700"/>
    <x v="0"/>
  </r>
  <r>
    <n v="95"/>
    <x v="6"/>
    <x v="0"/>
    <x v="94"/>
    <n v="8833880376"/>
    <n v="28"/>
    <x v="2"/>
    <n v="240"/>
    <x v="0"/>
    <x v="0"/>
    <n v="71"/>
    <n v="45"/>
    <n v="3195"/>
    <x v="2"/>
  </r>
  <r>
    <n v="96"/>
    <x v="6"/>
    <x v="0"/>
    <x v="95"/>
    <n v="9814911035"/>
    <n v="28"/>
    <x v="2"/>
    <n v="521"/>
    <x v="1"/>
    <x v="1"/>
    <n v="96"/>
    <n v="30"/>
    <n v="2880"/>
    <x v="2"/>
  </r>
  <r>
    <n v="97"/>
    <x v="7"/>
    <x v="4"/>
    <x v="96"/>
    <n v="7972155665"/>
    <n v="28"/>
    <x v="2"/>
    <n v="568"/>
    <x v="3"/>
    <x v="2"/>
    <n v="98"/>
    <n v="1"/>
    <n v="98"/>
    <x v="2"/>
  </r>
  <r>
    <n v="98"/>
    <x v="7"/>
    <x v="4"/>
    <x v="97"/>
    <n v="7972155665"/>
    <n v="28"/>
    <x v="2"/>
    <n v="568"/>
    <x v="3"/>
    <x v="2"/>
    <n v="71"/>
    <n v="1"/>
    <n v="71"/>
    <x v="2"/>
  </r>
  <r>
    <n v="99"/>
    <x v="7"/>
    <x v="4"/>
    <x v="98"/>
    <n v="7972155665"/>
    <n v="28"/>
    <x v="2"/>
    <n v="568"/>
    <x v="3"/>
    <x v="2"/>
    <n v="87"/>
    <n v="1"/>
    <n v="87"/>
    <x v="2"/>
  </r>
  <r>
    <n v="100"/>
    <x v="7"/>
    <x v="4"/>
    <x v="99"/>
    <n v="7972155665"/>
    <n v="28"/>
    <x v="2"/>
    <n v="568"/>
    <x v="3"/>
    <x v="2"/>
    <n v="92"/>
    <n v="1"/>
    <n v="92"/>
    <x v="2"/>
  </r>
  <r>
    <n v="101"/>
    <x v="7"/>
    <x v="4"/>
    <x v="100"/>
    <n v="7972155665"/>
    <n v="28"/>
    <x v="2"/>
    <n v="568"/>
    <x v="3"/>
    <x v="2"/>
    <n v="25"/>
    <n v="1"/>
    <n v="25"/>
    <x v="2"/>
  </r>
  <r>
    <n v="102"/>
    <x v="7"/>
    <x v="4"/>
    <x v="101"/>
    <n v="7972155665"/>
    <n v="28"/>
    <x v="2"/>
    <n v="568"/>
    <x v="3"/>
    <x v="2"/>
    <n v="67"/>
    <n v="1"/>
    <n v="67"/>
    <x v="2"/>
  </r>
  <r>
    <n v="103"/>
    <x v="8"/>
    <x v="4"/>
    <x v="102"/>
    <n v="2840707925"/>
    <n v="28"/>
    <x v="2"/>
    <n v="299"/>
    <x v="3"/>
    <x v="2"/>
    <n v="42"/>
    <n v="2"/>
    <n v="84"/>
    <x v="1"/>
  </r>
  <r>
    <n v="104"/>
    <x v="8"/>
    <x v="4"/>
    <x v="103"/>
    <n v="2208558769"/>
    <n v="28"/>
    <x v="2"/>
    <n v="793"/>
    <x v="0"/>
    <x v="0"/>
    <n v="74"/>
    <n v="35"/>
    <n v="2590"/>
    <x v="2"/>
  </r>
  <r>
    <n v="105"/>
    <x v="8"/>
    <x v="4"/>
    <x v="104"/>
    <n v="9652447749"/>
    <n v="28"/>
    <x v="2"/>
    <n v="896"/>
    <x v="5"/>
    <x v="0"/>
    <n v="91"/>
    <n v="15"/>
    <n v="1365"/>
    <x v="0"/>
  </r>
  <r>
    <n v="106"/>
    <x v="8"/>
    <x v="4"/>
    <x v="105"/>
    <n v="6293973290"/>
    <n v="21"/>
    <x v="4"/>
    <n v="896"/>
    <x v="5"/>
    <x v="0"/>
    <n v="13"/>
    <n v="15"/>
    <n v="195"/>
    <x v="1"/>
  </r>
  <r>
    <n v="107"/>
    <x v="8"/>
    <x v="4"/>
    <x v="106"/>
    <n v="2840707925"/>
    <n v="21"/>
    <x v="4"/>
    <n v="299"/>
    <x v="3"/>
    <x v="2"/>
    <n v="66"/>
    <n v="2"/>
    <n v="132"/>
    <x v="1"/>
  </r>
  <r>
    <n v="108"/>
    <x v="8"/>
    <x v="4"/>
    <x v="107"/>
    <n v="2208558769"/>
    <n v="21"/>
    <x v="4"/>
    <n v="793"/>
    <x v="0"/>
    <x v="0"/>
    <n v="95"/>
    <n v="35"/>
    <n v="3325"/>
    <x v="2"/>
  </r>
  <r>
    <n v="109"/>
    <x v="8"/>
    <x v="4"/>
    <x v="108"/>
    <n v="9652447749"/>
    <n v="21"/>
    <x v="4"/>
    <n v="896"/>
    <x v="5"/>
    <x v="0"/>
    <n v="43"/>
    <n v="15"/>
    <n v="645"/>
    <x v="0"/>
  </r>
  <r>
    <n v="110"/>
    <x v="8"/>
    <x v="4"/>
    <x v="109"/>
    <n v="6293973290"/>
    <n v="21"/>
    <x v="4"/>
    <n v="896"/>
    <x v="5"/>
    <x v="0"/>
    <n v="13"/>
    <n v="15"/>
    <n v="195"/>
    <x v="1"/>
  </r>
  <r>
    <n v="111"/>
    <x v="8"/>
    <x v="4"/>
    <x v="110"/>
    <n v="2840707925"/>
    <n v="21"/>
    <x v="4"/>
    <n v="299"/>
    <x v="3"/>
    <x v="2"/>
    <n v="35"/>
    <n v="2"/>
    <n v="70"/>
    <x v="1"/>
  </r>
  <r>
    <n v="112"/>
    <x v="8"/>
    <x v="4"/>
    <x v="111"/>
    <n v="2208558769"/>
    <n v="21"/>
    <x v="4"/>
    <n v="793"/>
    <x v="0"/>
    <x v="0"/>
    <n v="55"/>
    <n v="35"/>
    <n v="1925"/>
    <x v="2"/>
  </r>
  <r>
    <n v="113"/>
    <x v="8"/>
    <x v="4"/>
    <x v="112"/>
    <n v="9652447749"/>
    <n v="21"/>
    <x v="4"/>
    <n v="896"/>
    <x v="5"/>
    <x v="0"/>
    <n v="86"/>
    <n v="15"/>
    <n v="1290"/>
    <x v="0"/>
  </r>
  <r>
    <n v="114"/>
    <x v="8"/>
    <x v="4"/>
    <x v="113"/>
    <n v="6293973290"/>
    <n v="21"/>
    <x v="4"/>
    <n v="896"/>
    <x v="5"/>
    <x v="0"/>
    <n v="54"/>
    <n v="15"/>
    <n v="810"/>
    <x v="1"/>
  </r>
  <r>
    <n v="115"/>
    <x v="8"/>
    <x v="4"/>
    <x v="114"/>
    <n v="2840707925"/>
    <n v="39"/>
    <x v="5"/>
    <n v="299"/>
    <x v="3"/>
    <x v="2"/>
    <n v="82"/>
    <n v="2"/>
    <n v="164"/>
    <x v="1"/>
  </r>
  <r>
    <n v="116"/>
    <x v="8"/>
    <x v="4"/>
    <x v="115"/>
    <n v="2208558769"/>
    <n v="39"/>
    <x v="5"/>
    <n v="793"/>
    <x v="0"/>
    <x v="0"/>
    <n v="47"/>
    <n v="35"/>
    <n v="1645"/>
    <x v="2"/>
  </r>
  <r>
    <n v="117"/>
    <x v="8"/>
    <x v="4"/>
    <x v="116"/>
    <n v="9652447749"/>
    <n v="39"/>
    <x v="5"/>
    <n v="896"/>
    <x v="5"/>
    <x v="0"/>
    <n v="83"/>
    <n v="15"/>
    <n v="1245"/>
    <x v="0"/>
  </r>
  <r>
    <n v="118"/>
    <x v="8"/>
    <x v="4"/>
    <x v="117"/>
    <n v="6293973290"/>
    <n v="39"/>
    <x v="5"/>
    <n v="896"/>
    <x v="5"/>
    <x v="0"/>
    <n v="31"/>
    <n v="15"/>
    <n v="465"/>
    <x v="1"/>
  </r>
  <r>
    <n v="119"/>
    <x v="8"/>
    <x v="4"/>
    <x v="118"/>
    <n v="2840707925"/>
    <n v="39"/>
    <x v="5"/>
    <n v="299"/>
    <x v="3"/>
    <x v="2"/>
    <n v="55"/>
    <n v="2"/>
    <n v="110"/>
    <x v="1"/>
  </r>
  <r>
    <n v="120"/>
    <x v="8"/>
    <x v="4"/>
    <x v="119"/>
    <n v="2208558769"/>
    <n v="39"/>
    <x v="5"/>
    <n v="793"/>
    <x v="0"/>
    <x v="0"/>
    <n v="51"/>
    <n v="35"/>
    <n v="1785"/>
    <x v="2"/>
  </r>
  <r>
    <n v="121"/>
    <x v="8"/>
    <x v="4"/>
    <x v="120"/>
    <n v="9652447749"/>
    <n v="39"/>
    <x v="5"/>
    <n v="896"/>
    <x v="5"/>
    <x v="0"/>
    <n v="19"/>
    <n v="15"/>
    <n v="285"/>
    <x v="0"/>
  </r>
  <r>
    <n v="122"/>
    <x v="8"/>
    <x v="4"/>
    <x v="121"/>
    <n v="6293973290"/>
    <n v="39"/>
    <x v="5"/>
    <n v="896"/>
    <x v="5"/>
    <x v="0"/>
    <n v="31"/>
    <n v="15"/>
    <n v="465"/>
    <x v="1"/>
  </r>
  <r>
    <n v="123"/>
    <x v="8"/>
    <x v="4"/>
    <x v="122"/>
    <n v="2840707925"/>
    <n v="39"/>
    <x v="5"/>
    <n v="299"/>
    <x v="3"/>
    <x v="2"/>
    <n v="96"/>
    <n v="2"/>
    <n v="192"/>
    <x v="1"/>
  </r>
  <r>
    <n v="124"/>
    <x v="8"/>
    <x v="4"/>
    <x v="123"/>
    <n v="2208558769"/>
    <n v="21"/>
    <x v="4"/>
    <n v="793"/>
    <x v="0"/>
    <x v="0"/>
    <n v="26"/>
    <n v="35"/>
    <n v="910"/>
    <x v="2"/>
  </r>
  <r>
    <n v="125"/>
    <x v="8"/>
    <x v="4"/>
    <x v="124"/>
    <n v="9652447749"/>
    <n v="21"/>
    <x v="4"/>
    <n v="896"/>
    <x v="5"/>
    <x v="0"/>
    <n v="76"/>
    <n v="15"/>
    <n v="1140"/>
    <x v="0"/>
  </r>
  <r>
    <n v="126"/>
    <x v="8"/>
    <x v="4"/>
    <x v="125"/>
    <n v="6293973290"/>
    <n v="21"/>
    <x v="4"/>
    <n v="896"/>
    <x v="5"/>
    <x v="0"/>
    <n v="28"/>
    <n v="15"/>
    <n v="420"/>
    <x v="1"/>
  </r>
  <r>
    <n v="127"/>
    <x v="9"/>
    <x v="4"/>
    <x v="126"/>
    <n v="3915253150"/>
    <n v="21"/>
    <x v="4"/>
    <n v="577"/>
    <x v="6"/>
    <x v="0"/>
    <n v="50"/>
    <n v="40"/>
    <n v="2000"/>
    <x v="1"/>
  </r>
  <r>
    <n v="128"/>
    <x v="9"/>
    <x v="4"/>
    <x v="127"/>
    <n v="3915253150"/>
    <n v="21"/>
    <x v="4"/>
    <n v="577"/>
    <x v="6"/>
    <x v="0"/>
    <n v="13"/>
    <n v="40"/>
    <n v="520"/>
    <x v="1"/>
  </r>
  <r>
    <n v="129"/>
    <x v="9"/>
    <x v="4"/>
    <x v="128"/>
    <n v="3915253150"/>
    <n v="21"/>
    <x v="4"/>
    <n v="577"/>
    <x v="6"/>
    <x v="0"/>
    <n v="75"/>
    <n v="40"/>
    <n v="3000"/>
    <x v="1"/>
  </r>
  <r>
    <n v="130"/>
    <x v="9"/>
    <x v="4"/>
    <x v="129"/>
    <n v="3915253150"/>
    <n v="21"/>
    <x v="4"/>
    <n v="577"/>
    <x v="6"/>
    <x v="0"/>
    <n v="65"/>
    <n v="40"/>
    <n v="2600"/>
    <x v="1"/>
  </r>
  <r>
    <n v="131"/>
    <x v="9"/>
    <x v="4"/>
    <x v="130"/>
    <n v="3915253150"/>
    <n v="21"/>
    <x v="4"/>
    <n v="577"/>
    <x v="6"/>
    <x v="0"/>
    <n v="42"/>
    <n v="40"/>
    <n v="1680"/>
    <x v="1"/>
  </r>
  <r>
    <n v="132"/>
    <x v="9"/>
    <x v="4"/>
    <x v="131"/>
    <n v="3915253150"/>
    <n v="21"/>
    <x v="4"/>
    <n v="577"/>
    <x v="6"/>
    <x v="0"/>
    <n v="62"/>
    <n v="40"/>
    <n v="2480"/>
    <x v="1"/>
  </r>
  <r>
    <n v="133"/>
    <x v="10"/>
    <x v="4"/>
    <x v="132"/>
    <n v="1528715980"/>
    <n v="29"/>
    <x v="6"/>
    <n v="521"/>
    <x v="1"/>
    <x v="1"/>
    <n v="72"/>
    <n v="30"/>
    <n v="2160"/>
    <x v="2"/>
  </r>
  <r>
    <n v="134"/>
    <x v="10"/>
    <x v="4"/>
    <x v="133"/>
    <n v="1528715980"/>
    <n v="29"/>
    <x v="6"/>
    <n v="521"/>
    <x v="1"/>
    <x v="1"/>
    <n v="95"/>
    <n v="30"/>
    <n v="2850"/>
    <x v="2"/>
  </r>
  <r>
    <n v="135"/>
    <x v="10"/>
    <x v="4"/>
    <x v="134"/>
    <n v="1528715980"/>
    <n v="29"/>
    <x v="6"/>
    <n v="521"/>
    <x v="1"/>
    <x v="1"/>
    <n v="77"/>
    <n v="30"/>
    <n v="2310"/>
    <x v="2"/>
  </r>
  <r>
    <n v="136"/>
    <x v="10"/>
    <x v="4"/>
    <x v="135"/>
    <n v="1528715980"/>
    <n v="29"/>
    <x v="6"/>
    <n v="521"/>
    <x v="1"/>
    <x v="1"/>
    <n v="16"/>
    <n v="30"/>
    <n v="480"/>
    <x v="2"/>
  </r>
  <r>
    <n v="137"/>
    <x v="10"/>
    <x v="4"/>
    <x v="136"/>
    <n v="1528715980"/>
    <n v="29"/>
    <x v="6"/>
    <n v="521"/>
    <x v="1"/>
    <x v="1"/>
    <n v="95"/>
    <n v="30"/>
    <n v="2850"/>
    <x v="2"/>
  </r>
  <r>
    <n v="138"/>
    <x v="10"/>
    <x v="4"/>
    <x v="137"/>
    <n v="1528715980"/>
    <n v="29"/>
    <x v="6"/>
    <n v="521"/>
    <x v="1"/>
    <x v="1"/>
    <n v="26"/>
    <n v="30"/>
    <n v="780"/>
    <x v="2"/>
  </r>
  <r>
    <n v="139"/>
    <x v="7"/>
    <x v="4"/>
    <x v="138"/>
    <n v="3896627272"/>
    <n v="29"/>
    <x v="6"/>
    <n v="195"/>
    <x v="4"/>
    <x v="0"/>
    <n v="27"/>
    <n v="60"/>
    <n v="1620"/>
    <x v="1"/>
  </r>
  <r>
    <n v="140"/>
    <x v="7"/>
    <x v="4"/>
    <x v="139"/>
    <n v="6023412162"/>
    <n v="29"/>
    <x v="6"/>
    <n v="454"/>
    <x v="5"/>
    <x v="0"/>
    <n v="79"/>
    <n v="15"/>
    <n v="1185"/>
    <x v="1"/>
  </r>
  <r>
    <n v="141"/>
    <x v="7"/>
    <x v="4"/>
    <x v="140"/>
    <n v="3896627272"/>
    <n v="29"/>
    <x v="6"/>
    <n v="195"/>
    <x v="4"/>
    <x v="0"/>
    <n v="59"/>
    <n v="60"/>
    <n v="3540"/>
    <x v="1"/>
  </r>
  <r>
    <n v="142"/>
    <x v="7"/>
    <x v="4"/>
    <x v="141"/>
    <n v="6023412162"/>
    <n v="29"/>
    <x v="6"/>
    <n v="454"/>
    <x v="5"/>
    <x v="0"/>
    <n v="54"/>
    <n v="15"/>
    <n v="810"/>
    <x v="1"/>
  </r>
  <r>
    <n v="143"/>
    <x v="7"/>
    <x v="4"/>
    <x v="142"/>
    <n v="3896627272"/>
    <n v="29"/>
    <x v="6"/>
    <n v="195"/>
    <x v="4"/>
    <x v="0"/>
    <n v="92"/>
    <n v="60"/>
    <n v="5520"/>
    <x v="1"/>
  </r>
  <r>
    <n v="144"/>
    <x v="7"/>
    <x v="4"/>
    <x v="143"/>
    <n v="6023412162"/>
    <n v="29"/>
    <x v="6"/>
    <n v="454"/>
    <x v="5"/>
    <x v="0"/>
    <n v="52"/>
    <n v="15"/>
    <n v="780"/>
    <x v="1"/>
  </r>
  <r>
    <n v="145"/>
    <x v="7"/>
    <x v="4"/>
    <x v="144"/>
    <n v="3896627272"/>
    <n v="29"/>
    <x v="6"/>
    <n v="195"/>
    <x v="4"/>
    <x v="0"/>
    <n v="97"/>
    <n v="60"/>
    <n v="5820"/>
    <x v="1"/>
  </r>
  <r>
    <n v="146"/>
    <x v="7"/>
    <x v="4"/>
    <x v="145"/>
    <n v="6023412162"/>
    <n v="29"/>
    <x v="6"/>
    <n v="454"/>
    <x v="5"/>
    <x v="0"/>
    <n v="85"/>
    <n v="15"/>
    <n v="1275"/>
    <x v="1"/>
  </r>
  <r>
    <n v="147"/>
    <x v="7"/>
    <x v="4"/>
    <x v="146"/>
    <n v="3896627272"/>
    <n v="29"/>
    <x v="6"/>
    <n v="195"/>
    <x v="4"/>
    <x v="0"/>
    <n v="58"/>
    <n v="60"/>
    <n v="3480"/>
    <x v="1"/>
  </r>
  <r>
    <n v="148"/>
    <x v="7"/>
    <x v="4"/>
    <x v="147"/>
    <n v="6023412162"/>
    <n v="29"/>
    <x v="6"/>
    <n v="454"/>
    <x v="5"/>
    <x v="0"/>
    <n v="92"/>
    <n v="15"/>
    <n v="1380"/>
    <x v="1"/>
  </r>
  <r>
    <n v="149"/>
    <x v="7"/>
    <x v="4"/>
    <x v="148"/>
    <n v="3896627272"/>
    <n v="29"/>
    <x v="6"/>
    <n v="195"/>
    <x v="4"/>
    <x v="0"/>
    <n v="73"/>
    <n v="60"/>
    <n v="4380"/>
    <x v="1"/>
  </r>
  <r>
    <n v="150"/>
    <x v="7"/>
    <x v="4"/>
    <x v="149"/>
    <n v="6023412162"/>
    <n v="29"/>
    <x v="6"/>
    <n v="454"/>
    <x v="5"/>
    <x v="0"/>
    <n v="71"/>
    <n v="15"/>
    <n v="1065"/>
    <x v="1"/>
  </r>
  <r>
    <n v="151"/>
    <x v="11"/>
    <x v="4"/>
    <x v="150"/>
    <n v="8148155955"/>
    <n v="29"/>
    <x v="6"/>
    <n v="454"/>
    <x v="5"/>
    <x v="0"/>
    <n v="93"/>
    <n v="15"/>
    <n v="1395"/>
    <x v="0"/>
  </r>
  <r>
    <n v="152"/>
    <x v="11"/>
    <x v="4"/>
    <x v="151"/>
    <n v="8148155955"/>
    <n v="29"/>
    <x v="6"/>
    <n v="454"/>
    <x v="5"/>
    <x v="0"/>
    <n v="92"/>
    <n v="15"/>
    <n v="1380"/>
    <x v="0"/>
  </r>
  <r>
    <n v="153"/>
    <x v="11"/>
    <x v="4"/>
    <x v="152"/>
    <n v="8148155955"/>
    <n v="29"/>
    <x v="6"/>
    <n v="454"/>
    <x v="5"/>
    <x v="0"/>
    <n v="35"/>
    <n v="15"/>
    <n v="525"/>
    <x v="0"/>
  </r>
  <r>
    <n v="154"/>
    <x v="11"/>
    <x v="4"/>
    <x v="153"/>
    <n v="8148155955"/>
    <n v="29"/>
    <x v="6"/>
    <n v="454"/>
    <x v="5"/>
    <x v="0"/>
    <n v="69"/>
    <n v="15"/>
    <n v="1035"/>
    <x v="0"/>
  </r>
  <r>
    <n v="155"/>
    <x v="11"/>
    <x v="4"/>
    <x v="154"/>
    <n v="8148155955"/>
    <n v="29"/>
    <x v="6"/>
    <n v="454"/>
    <x v="5"/>
    <x v="0"/>
    <n v="96"/>
    <n v="15"/>
    <n v="1440"/>
    <x v="0"/>
  </r>
  <r>
    <n v="156"/>
    <x v="11"/>
    <x v="4"/>
    <x v="155"/>
    <n v="8148155955"/>
    <n v="29"/>
    <x v="6"/>
    <n v="454"/>
    <x v="5"/>
    <x v="0"/>
    <n v="44"/>
    <n v="15"/>
    <n v="660"/>
    <x v="0"/>
  </r>
  <r>
    <n v="157"/>
    <x v="10"/>
    <x v="4"/>
    <x v="156"/>
    <n v="2656823296"/>
    <n v="29"/>
    <x v="6"/>
    <n v="454"/>
    <x v="5"/>
    <x v="0"/>
    <n v="55"/>
    <n v="15"/>
    <n v="825"/>
    <x v="2"/>
  </r>
  <r>
    <n v="158"/>
    <x v="10"/>
    <x v="4"/>
    <x v="157"/>
    <n v="2656823296"/>
    <n v="29"/>
    <x v="6"/>
    <n v="454"/>
    <x v="5"/>
    <x v="0"/>
    <n v="77"/>
    <n v="15"/>
    <n v="1155"/>
    <x v="2"/>
  </r>
  <r>
    <n v="159"/>
    <x v="10"/>
    <x v="4"/>
    <x v="158"/>
    <n v="2656823296"/>
    <n v="29"/>
    <x v="6"/>
    <n v="454"/>
    <x v="5"/>
    <x v="0"/>
    <n v="66"/>
    <n v="15"/>
    <n v="990"/>
    <x v="2"/>
  </r>
  <r>
    <n v="160"/>
    <x v="10"/>
    <x v="5"/>
    <x v="159"/>
    <n v="2656823296"/>
    <n v="29"/>
    <x v="6"/>
    <n v="454"/>
    <x v="5"/>
    <x v="0"/>
    <n v="29"/>
    <n v="15"/>
    <n v="435"/>
    <x v="2"/>
  </r>
  <r>
    <n v="161"/>
    <x v="10"/>
    <x v="5"/>
    <x v="160"/>
    <n v="2656823296"/>
    <n v="29"/>
    <x v="6"/>
    <n v="454"/>
    <x v="5"/>
    <x v="0"/>
    <n v="39"/>
    <n v="15"/>
    <n v="585"/>
    <x v="2"/>
  </r>
  <r>
    <n v="162"/>
    <x v="10"/>
    <x v="5"/>
    <x v="161"/>
    <n v="2656823296"/>
    <n v="29"/>
    <x v="6"/>
    <n v="454"/>
    <x v="5"/>
    <x v="0"/>
    <n v="37"/>
    <n v="15"/>
    <n v="555"/>
    <x v="2"/>
  </r>
  <r>
    <n v="163"/>
    <x v="12"/>
    <x v="5"/>
    <x v="162"/>
    <n v="9856588163"/>
    <n v="29"/>
    <x v="6"/>
    <n v="702"/>
    <x v="6"/>
    <x v="0"/>
    <n v="84"/>
    <n v="20"/>
    <n v="1680"/>
    <x v="2"/>
  </r>
  <r>
    <n v="164"/>
    <x v="12"/>
    <x v="5"/>
    <x v="163"/>
    <n v="4591976872"/>
    <n v="29"/>
    <x v="6"/>
    <n v="909"/>
    <x v="2"/>
    <x v="0"/>
    <n v="77"/>
    <n v="50"/>
    <n v="3850"/>
    <x v="1"/>
  </r>
  <r>
    <n v="165"/>
    <x v="12"/>
    <x v="5"/>
    <x v="164"/>
    <n v="9856588163"/>
    <n v="29"/>
    <x v="6"/>
    <n v="702"/>
    <x v="6"/>
    <x v="0"/>
    <n v="44"/>
    <n v="20"/>
    <n v="880"/>
    <x v="2"/>
  </r>
  <r>
    <n v="166"/>
    <x v="12"/>
    <x v="5"/>
    <x v="165"/>
    <n v="4591976872"/>
    <n v="29"/>
    <x v="6"/>
    <n v="909"/>
    <x v="2"/>
    <x v="0"/>
    <n v="24"/>
    <n v="50"/>
    <n v="1200"/>
    <x v="1"/>
  </r>
  <r>
    <n v="167"/>
    <x v="12"/>
    <x v="5"/>
    <x v="166"/>
    <n v="9856588163"/>
    <n v="29"/>
    <x v="6"/>
    <n v="702"/>
    <x v="6"/>
    <x v="0"/>
    <n v="86"/>
    <n v="20"/>
    <n v="1720"/>
    <x v="2"/>
  </r>
  <r>
    <n v="168"/>
    <x v="12"/>
    <x v="5"/>
    <x v="167"/>
    <n v="4591976872"/>
    <n v="29"/>
    <x v="6"/>
    <n v="909"/>
    <x v="2"/>
    <x v="0"/>
    <n v="63"/>
    <n v="50"/>
    <n v="3150"/>
    <x v="1"/>
  </r>
  <r>
    <n v="169"/>
    <x v="12"/>
    <x v="5"/>
    <x v="168"/>
    <n v="9856588163"/>
    <n v="29"/>
    <x v="6"/>
    <n v="702"/>
    <x v="6"/>
    <x v="0"/>
    <n v="68"/>
    <n v="20"/>
    <n v="1360"/>
    <x v="2"/>
  </r>
  <r>
    <n v="170"/>
    <x v="12"/>
    <x v="5"/>
    <x v="169"/>
    <n v="4591976872"/>
    <n v="29"/>
    <x v="6"/>
    <n v="909"/>
    <x v="2"/>
    <x v="0"/>
    <n v="23"/>
    <n v="50"/>
    <n v="1150"/>
    <x v="1"/>
  </r>
  <r>
    <n v="171"/>
    <x v="12"/>
    <x v="5"/>
    <x v="170"/>
    <n v="9856588163"/>
    <n v="29"/>
    <x v="6"/>
    <n v="702"/>
    <x v="6"/>
    <x v="0"/>
    <n v="81"/>
    <n v="20"/>
    <n v="1620"/>
    <x v="2"/>
  </r>
  <r>
    <n v="172"/>
    <x v="12"/>
    <x v="5"/>
    <x v="171"/>
    <n v="4591976872"/>
    <n v="29"/>
    <x v="6"/>
    <n v="909"/>
    <x v="2"/>
    <x v="0"/>
    <n v="61"/>
    <n v="50"/>
    <n v="3050"/>
    <x v="1"/>
  </r>
  <r>
    <n v="173"/>
    <x v="12"/>
    <x v="5"/>
    <x v="172"/>
    <n v="9856588163"/>
    <n v="29"/>
    <x v="6"/>
    <n v="702"/>
    <x v="6"/>
    <x v="0"/>
    <n v="83"/>
    <n v="20"/>
    <n v="1660"/>
    <x v="2"/>
  </r>
  <r>
    <n v="174"/>
    <x v="12"/>
    <x v="5"/>
    <x v="173"/>
    <n v="4591976872"/>
    <n v="29"/>
    <x v="6"/>
    <n v="909"/>
    <x v="2"/>
    <x v="0"/>
    <n v="44"/>
    <n v="50"/>
    <n v="2200"/>
    <x v="1"/>
  </r>
  <r>
    <n v="175"/>
    <x v="8"/>
    <x v="5"/>
    <x v="174"/>
    <n v="2710956307"/>
    <n v="29"/>
    <x v="6"/>
    <n v="195"/>
    <x v="4"/>
    <x v="0"/>
    <n v="92"/>
    <n v="60"/>
    <n v="5520"/>
    <x v="1"/>
  </r>
  <r>
    <n v="176"/>
    <x v="8"/>
    <x v="5"/>
    <x v="175"/>
    <n v="3395628039"/>
    <n v="29"/>
    <x v="6"/>
    <n v="534"/>
    <x v="0"/>
    <x v="0"/>
    <n v="89"/>
    <n v="25"/>
    <n v="2225"/>
    <x v="1"/>
  </r>
  <r>
    <n v="177"/>
    <x v="8"/>
    <x v="5"/>
    <x v="176"/>
    <n v="2710956307"/>
    <n v="29"/>
    <x v="6"/>
    <n v="195"/>
    <x v="4"/>
    <x v="0"/>
    <n v="45"/>
    <n v="60"/>
    <n v="2700"/>
    <x v="1"/>
  </r>
  <r>
    <n v="178"/>
    <x v="8"/>
    <x v="5"/>
    <x v="177"/>
    <n v="3395628039"/>
    <n v="29"/>
    <x v="6"/>
    <n v="534"/>
    <x v="0"/>
    <x v="0"/>
    <n v="49"/>
    <n v="25"/>
    <n v="1225"/>
    <x v="1"/>
  </r>
  <r>
    <n v="179"/>
    <x v="8"/>
    <x v="5"/>
    <x v="178"/>
    <n v="2710956307"/>
    <n v="29"/>
    <x v="6"/>
    <n v="195"/>
    <x v="4"/>
    <x v="0"/>
    <n v="13"/>
    <n v="60"/>
    <n v="780"/>
    <x v="1"/>
  </r>
  <r>
    <n v="180"/>
    <x v="8"/>
    <x v="5"/>
    <x v="179"/>
    <n v="3395628039"/>
    <n v="29"/>
    <x v="6"/>
    <n v="534"/>
    <x v="0"/>
    <x v="0"/>
    <n v="30"/>
    <n v="25"/>
    <n v="750"/>
    <x v="1"/>
  </r>
  <r>
    <n v="181"/>
    <x v="8"/>
    <x v="5"/>
    <x v="180"/>
    <n v="2710956307"/>
    <n v="29"/>
    <x v="6"/>
    <n v="195"/>
    <x v="4"/>
    <x v="0"/>
    <n v="29"/>
    <n v="60"/>
    <n v="1740"/>
    <x v="1"/>
  </r>
  <r>
    <n v="182"/>
    <x v="8"/>
    <x v="5"/>
    <x v="181"/>
    <n v="3395628039"/>
    <n v="29"/>
    <x v="6"/>
    <n v="534"/>
    <x v="0"/>
    <x v="0"/>
    <n v="24"/>
    <n v="25"/>
    <n v="600"/>
    <x v="1"/>
  </r>
  <r>
    <n v="183"/>
    <x v="8"/>
    <x v="5"/>
    <x v="182"/>
    <n v="2710956307"/>
    <n v="29"/>
    <x v="6"/>
    <n v="195"/>
    <x v="4"/>
    <x v="0"/>
    <n v="58"/>
    <n v="60"/>
    <n v="3480"/>
    <x v="1"/>
  </r>
  <r>
    <n v="184"/>
    <x v="8"/>
    <x v="5"/>
    <x v="183"/>
    <n v="3395628039"/>
    <n v="29"/>
    <x v="6"/>
    <n v="534"/>
    <x v="0"/>
    <x v="0"/>
    <n v="43"/>
    <n v="25"/>
    <n v="1075"/>
    <x v="1"/>
  </r>
  <r>
    <n v="185"/>
    <x v="8"/>
    <x v="5"/>
    <x v="184"/>
    <n v="2710956307"/>
    <n v="29"/>
    <x v="6"/>
    <n v="195"/>
    <x v="4"/>
    <x v="0"/>
    <n v="25"/>
    <n v="60"/>
    <n v="1500"/>
    <x v="1"/>
  </r>
  <r>
    <n v="186"/>
    <x v="8"/>
    <x v="5"/>
    <x v="185"/>
    <n v="3395628039"/>
    <n v="29"/>
    <x v="6"/>
    <n v="534"/>
    <x v="0"/>
    <x v="0"/>
    <n v="54"/>
    <n v="25"/>
    <n v="1350"/>
    <x v="1"/>
  </r>
  <r>
    <n v="187"/>
    <x v="13"/>
    <x v="5"/>
    <x v="186"/>
    <n v="1642710160"/>
    <n v="29"/>
    <x v="6"/>
    <n v="521"/>
    <x v="1"/>
    <x v="1"/>
    <n v="92"/>
    <n v="30"/>
    <n v="2760"/>
    <x v="2"/>
  </r>
  <r>
    <n v="188"/>
    <x v="13"/>
    <x v="5"/>
    <x v="187"/>
    <n v="1642710160"/>
    <n v="29"/>
    <x v="6"/>
    <n v="521"/>
    <x v="1"/>
    <x v="1"/>
    <n v="90"/>
    <n v="30"/>
    <n v="2700"/>
    <x v="2"/>
  </r>
  <r>
    <n v="189"/>
    <x v="13"/>
    <x v="5"/>
    <x v="188"/>
    <n v="1642710160"/>
    <n v="29"/>
    <x v="6"/>
    <n v="521"/>
    <x v="1"/>
    <x v="1"/>
    <n v="57"/>
    <n v="30"/>
    <n v="1710"/>
    <x v="2"/>
  </r>
  <r>
    <n v="190"/>
    <x v="13"/>
    <x v="5"/>
    <x v="189"/>
    <n v="1642710160"/>
    <n v="29"/>
    <x v="6"/>
    <n v="521"/>
    <x v="1"/>
    <x v="1"/>
    <n v="44"/>
    <n v="30"/>
    <n v="1320"/>
    <x v="2"/>
  </r>
  <r>
    <n v="191"/>
    <x v="13"/>
    <x v="5"/>
    <x v="190"/>
    <n v="1642710160"/>
    <n v="29"/>
    <x v="6"/>
    <n v="521"/>
    <x v="1"/>
    <x v="1"/>
    <n v="93"/>
    <n v="30"/>
    <n v="2790"/>
    <x v="2"/>
  </r>
  <r>
    <n v="192"/>
    <x v="13"/>
    <x v="5"/>
    <x v="191"/>
    <n v="1642710160"/>
    <n v="29"/>
    <x v="6"/>
    <n v="521"/>
    <x v="1"/>
    <x v="1"/>
    <n v="62"/>
    <n v="30"/>
    <n v="1860"/>
    <x v="2"/>
  </r>
  <r>
    <n v="193"/>
    <x v="12"/>
    <x v="5"/>
    <x v="192"/>
    <n v="5511549800"/>
    <n v="29"/>
    <x v="6"/>
    <n v="454"/>
    <x v="5"/>
    <x v="0"/>
    <n v="25"/>
    <n v="15"/>
    <n v="375"/>
    <x v="0"/>
  </r>
  <r>
    <n v="194"/>
    <x v="12"/>
    <x v="5"/>
    <x v="193"/>
    <n v="889708731"/>
    <n v="16"/>
    <x v="7"/>
    <n v="568"/>
    <x v="3"/>
    <x v="2"/>
    <n v="88"/>
    <n v="1"/>
    <n v="88"/>
    <x v="2"/>
  </r>
  <r>
    <n v="195"/>
    <x v="12"/>
    <x v="5"/>
    <x v="194"/>
    <n v="3576436279"/>
    <n v="16"/>
    <x v="7"/>
    <n v="240"/>
    <x v="0"/>
    <x v="0"/>
    <n v="97"/>
    <n v="45"/>
    <n v="4365"/>
    <x v="0"/>
  </r>
  <r>
    <n v="196"/>
    <x v="12"/>
    <x v="5"/>
    <x v="195"/>
    <n v="5511549800"/>
    <n v="16"/>
    <x v="7"/>
    <n v="454"/>
    <x v="5"/>
    <x v="0"/>
    <n v="82"/>
    <n v="15"/>
    <n v="1230"/>
    <x v="0"/>
  </r>
  <r>
    <n v="197"/>
    <x v="12"/>
    <x v="5"/>
    <x v="196"/>
    <n v="889708731"/>
    <n v="16"/>
    <x v="7"/>
    <n v="568"/>
    <x v="3"/>
    <x v="2"/>
    <n v="25"/>
    <n v="1"/>
    <n v="25"/>
    <x v="2"/>
  </r>
  <r>
    <n v="198"/>
    <x v="12"/>
    <x v="5"/>
    <x v="197"/>
    <n v="3576436279"/>
    <n v="16"/>
    <x v="7"/>
    <n v="240"/>
    <x v="0"/>
    <x v="0"/>
    <n v="50"/>
    <n v="45"/>
    <n v="2250"/>
    <x v="0"/>
  </r>
  <r>
    <n v="199"/>
    <x v="12"/>
    <x v="5"/>
    <x v="198"/>
    <n v="5511549800"/>
    <n v="16"/>
    <x v="7"/>
    <n v="454"/>
    <x v="5"/>
    <x v="0"/>
    <n v="75"/>
    <n v="15"/>
    <n v="1125"/>
    <x v="0"/>
  </r>
  <r>
    <n v="200"/>
    <x v="12"/>
    <x v="5"/>
    <x v="199"/>
    <n v="889708731"/>
    <n v="16"/>
    <x v="7"/>
    <n v="568"/>
    <x v="3"/>
    <x v="2"/>
    <n v="21"/>
    <n v="1"/>
    <n v="21"/>
    <x v="2"/>
  </r>
  <r>
    <n v="201"/>
    <x v="12"/>
    <x v="4"/>
    <x v="200"/>
    <n v="3576436279"/>
    <n v="16"/>
    <x v="7"/>
    <n v="240"/>
    <x v="0"/>
    <x v="0"/>
    <n v="60"/>
    <n v="45"/>
    <n v="2700"/>
    <x v="0"/>
  </r>
  <r>
    <n v="202"/>
    <x v="12"/>
    <x v="4"/>
    <x v="201"/>
    <n v="5511549800"/>
    <n v="16"/>
    <x v="7"/>
    <n v="454"/>
    <x v="5"/>
    <x v="0"/>
    <n v="56"/>
    <n v="15"/>
    <n v="840"/>
    <x v="0"/>
  </r>
  <r>
    <n v="203"/>
    <x v="12"/>
    <x v="4"/>
    <x v="202"/>
    <n v="889708731"/>
    <n v="16"/>
    <x v="7"/>
    <n v="568"/>
    <x v="3"/>
    <x v="2"/>
    <n v="60"/>
    <n v="1"/>
    <n v="60"/>
    <x v="2"/>
  </r>
  <r>
    <n v="204"/>
    <x v="12"/>
    <x v="4"/>
    <x v="203"/>
    <n v="3576436279"/>
    <n v="16"/>
    <x v="7"/>
    <n v="240"/>
    <x v="0"/>
    <x v="0"/>
    <n v="80"/>
    <n v="45"/>
    <n v="3600"/>
    <x v="0"/>
  </r>
  <r>
    <n v="205"/>
    <x v="12"/>
    <x v="4"/>
    <x v="204"/>
    <n v="5511549800"/>
    <n v="16"/>
    <x v="7"/>
    <n v="454"/>
    <x v="5"/>
    <x v="0"/>
    <n v="68"/>
    <n v="15"/>
    <n v="1020"/>
    <x v="0"/>
  </r>
  <r>
    <n v="206"/>
    <x v="12"/>
    <x v="4"/>
    <x v="205"/>
    <n v="889708731"/>
    <n v="16"/>
    <x v="7"/>
    <n v="568"/>
    <x v="3"/>
    <x v="2"/>
    <n v="73"/>
    <n v="1"/>
    <n v="73"/>
    <x v="2"/>
  </r>
  <r>
    <n v="207"/>
    <x v="12"/>
    <x v="4"/>
    <x v="206"/>
    <n v="3576436279"/>
    <n v="16"/>
    <x v="7"/>
    <n v="240"/>
    <x v="0"/>
    <x v="0"/>
    <n v="79"/>
    <n v="45"/>
    <n v="3555"/>
    <x v="0"/>
  </r>
  <r>
    <n v="208"/>
    <x v="12"/>
    <x v="4"/>
    <x v="207"/>
    <n v="5511549800"/>
    <n v="16"/>
    <x v="7"/>
    <n v="454"/>
    <x v="5"/>
    <x v="0"/>
    <n v="87"/>
    <n v="15"/>
    <n v="1305"/>
    <x v="0"/>
  </r>
  <r>
    <n v="209"/>
    <x v="12"/>
    <x v="4"/>
    <x v="208"/>
    <n v="889708731"/>
    <n v="16"/>
    <x v="7"/>
    <n v="568"/>
    <x v="3"/>
    <x v="2"/>
    <n v="86"/>
    <n v="1"/>
    <n v="86"/>
    <x v="2"/>
  </r>
  <r>
    <n v="210"/>
    <x v="12"/>
    <x v="4"/>
    <x v="209"/>
    <n v="3576436279"/>
    <n v="16"/>
    <x v="7"/>
    <n v="240"/>
    <x v="0"/>
    <x v="0"/>
    <n v="47"/>
    <n v="45"/>
    <n v="2115"/>
    <x v="0"/>
  </r>
  <r>
    <n v="211"/>
    <x v="14"/>
    <x v="4"/>
    <x v="210"/>
    <n v="6503045780"/>
    <n v="16"/>
    <x v="7"/>
    <n v="534"/>
    <x v="0"/>
    <x v="0"/>
    <n v="73"/>
    <n v="25"/>
    <n v="1825"/>
    <x v="2"/>
  </r>
  <r>
    <n v="212"/>
    <x v="14"/>
    <x v="4"/>
    <x v="211"/>
    <n v="6503045780"/>
    <n v="16"/>
    <x v="7"/>
    <n v="534"/>
    <x v="0"/>
    <x v="0"/>
    <n v="35"/>
    <n v="25"/>
    <n v="875"/>
    <x v="2"/>
  </r>
  <r>
    <n v="213"/>
    <x v="14"/>
    <x v="4"/>
    <x v="212"/>
    <n v="6503045780"/>
    <n v="16"/>
    <x v="7"/>
    <n v="534"/>
    <x v="0"/>
    <x v="0"/>
    <n v="47"/>
    <n v="25"/>
    <n v="1175"/>
    <x v="2"/>
  </r>
  <r>
    <n v="214"/>
    <x v="14"/>
    <x v="4"/>
    <x v="213"/>
    <n v="6503045780"/>
    <n v="16"/>
    <x v="7"/>
    <n v="534"/>
    <x v="0"/>
    <x v="0"/>
    <n v="93"/>
    <n v="25"/>
    <n v="2325"/>
    <x v="2"/>
  </r>
  <r>
    <n v="215"/>
    <x v="14"/>
    <x v="4"/>
    <x v="214"/>
    <n v="6503045780"/>
    <n v="16"/>
    <x v="7"/>
    <n v="534"/>
    <x v="0"/>
    <x v="0"/>
    <n v="95"/>
    <n v="25"/>
    <n v="2375"/>
    <x v="2"/>
  </r>
  <r>
    <n v="216"/>
    <x v="14"/>
    <x v="4"/>
    <x v="215"/>
    <n v="6503045780"/>
    <n v="16"/>
    <x v="7"/>
    <n v="534"/>
    <x v="0"/>
    <x v="0"/>
    <n v="42"/>
    <n v="25"/>
    <n v="1050"/>
    <x v="2"/>
  </r>
  <r>
    <n v="217"/>
    <x v="0"/>
    <x v="0"/>
    <x v="216"/>
    <n v="4829025444"/>
    <n v="26"/>
    <x v="8"/>
    <n v="195"/>
    <x v="4"/>
    <x v="0"/>
    <n v="96"/>
    <n v="60"/>
    <n v="5760"/>
    <x v="2"/>
  </r>
  <r>
    <n v="218"/>
    <x v="0"/>
    <x v="0"/>
    <x v="217"/>
    <n v="6087335766"/>
    <n v="26"/>
    <x v="8"/>
    <n v="896"/>
    <x v="5"/>
    <x v="0"/>
    <n v="48"/>
    <n v="15"/>
    <n v="720"/>
    <x v="1"/>
  </r>
  <r>
    <n v="219"/>
    <x v="0"/>
    <x v="0"/>
    <x v="218"/>
    <n v="4829025444"/>
    <n v="26"/>
    <x v="8"/>
    <n v="195"/>
    <x v="4"/>
    <x v="0"/>
    <n v="95"/>
    <n v="60"/>
    <n v="5700"/>
    <x v="2"/>
  </r>
  <r>
    <n v="220"/>
    <x v="0"/>
    <x v="0"/>
    <x v="219"/>
    <n v="6087335766"/>
    <n v="26"/>
    <x v="8"/>
    <n v="896"/>
    <x v="5"/>
    <x v="0"/>
    <n v="76"/>
    <n v="15"/>
    <n v="1140"/>
    <x v="1"/>
  </r>
  <r>
    <n v="221"/>
    <x v="0"/>
    <x v="0"/>
    <x v="220"/>
    <n v="4829025444"/>
    <n v="26"/>
    <x v="8"/>
    <n v="195"/>
    <x v="4"/>
    <x v="0"/>
    <n v="93"/>
    <n v="60"/>
    <n v="5580"/>
    <x v="2"/>
  </r>
  <r>
    <n v="222"/>
    <x v="0"/>
    <x v="0"/>
    <x v="221"/>
    <n v="6087335766"/>
    <n v="26"/>
    <x v="8"/>
    <n v="896"/>
    <x v="5"/>
    <x v="0"/>
    <n v="50"/>
    <n v="15"/>
    <n v="750"/>
    <x v="1"/>
  </r>
  <r>
    <n v="223"/>
    <x v="0"/>
    <x v="0"/>
    <x v="222"/>
    <n v="4829025444"/>
    <n v="26"/>
    <x v="8"/>
    <n v="195"/>
    <x v="4"/>
    <x v="0"/>
    <n v="30"/>
    <n v="60"/>
    <n v="1800"/>
    <x v="2"/>
  </r>
  <r>
    <n v="224"/>
    <x v="0"/>
    <x v="0"/>
    <x v="223"/>
    <n v="6087335766"/>
    <n v="26"/>
    <x v="8"/>
    <n v="896"/>
    <x v="5"/>
    <x v="0"/>
    <n v="36"/>
    <n v="15"/>
    <n v="540"/>
    <x v="1"/>
  </r>
  <r>
    <n v="225"/>
    <x v="0"/>
    <x v="0"/>
    <x v="224"/>
    <n v="4829025444"/>
    <n v="26"/>
    <x v="8"/>
    <n v="195"/>
    <x v="4"/>
    <x v="0"/>
    <n v="87"/>
    <n v="60"/>
    <n v="5220"/>
    <x v="2"/>
  </r>
  <r>
    <n v="226"/>
    <x v="0"/>
    <x v="0"/>
    <x v="225"/>
    <n v="6087335766"/>
    <n v="26"/>
    <x v="8"/>
    <n v="896"/>
    <x v="5"/>
    <x v="0"/>
    <n v="43"/>
    <n v="15"/>
    <n v="645"/>
    <x v="1"/>
  </r>
  <r>
    <n v="227"/>
    <x v="0"/>
    <x v="0"/>
    <x v="226"/>
    <n v="4829025444"/>
    <n v="26"/>
    <x v="8"/>
    <n v="195"/>
    <x v="4"/>
    <x v="0"/>
    <n v="27"/>
    <n v="60"/>
    <n v="1620"/>
    <x v="2"/>
  </r>
  <r>
    <n v="228"/>
    <x v="0"/>
    <x v="0"/>
    <x v="227"/>
    <n v="6087335766"/>
    <n v="26"/>
    <x v="8"/>
    <n v="896"/>
    <x v="5"/>
    <x v="0"/>
    <n v="99"/>
    <n v="15"/>
    <n v="1485"/>
    <x v="1"/>
  </r>
  <r>
    <n v="229"/>
    <x v="4"/>
    <x v="0"/>
    <x v="228"/>
    <n v="5152908567"/>
    <n v="26"/>
    <x v="8"/>
    <n v="521"/>
    <x v="1"/>
    <x v="1"/>
    <n v="50"/>
    <n v="30"/>
    <n v="1500"/>
    <x v="1"/>
  </r>
  <r>
    <n v="230"/>
    <x v="4"/>
    <x v="0"/>
    <x v="229"/>
    <n v="5152908567"/>
    <n v="26"/>
    <x v="8"/>
    <n v="521"/>
    <x v="1"/>
    <x v="1"/>
    <n v="55"/>
    <n v="30"/>
    <n v="1650"/>
    <x v="1"/>
  </r>
  <r>
    <n v="231"/>
    <x v="4"/>
    <x v="0"/>
    <x v="230"/>
    <n v="5152908567"/>
    <n v="26"/>
    <x v="8"/>
    <n v="521"/>
    <x v="1"/>
    <x v="1"/>
    <n v="24"/>
    <n v="30"/>
    <n v="720"/>
    <x v="1"/>
  </r>
  <r>
    <n v="232"/>
    <x v="4"/>
    <x v="0"/>
    <x v="231"/>
    <n v="5152908567"/>
    <n v="26"/>
    <x v="8"/>
    <n v="521"/>
    <x v="1"/>
    <x v="1"/>
    <n v="55"/>
    <n v="30"/>
    <n v="1650"/>
    <x v="1"/>
  </r>
  <r>
    <n v="233"/>
    <x v="4"/>
    <x v="0"/>
    <x v="232"/>
    <n v="5152908567"/>
    <n v="26"/>
    <x v="8"/>
    <n v="521"/>
    <x v="1"/>
    <x v="1"/>
    <n v="87"/>
    <n v="30"/>
    <n v="2610"/>
    <x v="1"/>
  </r>
  <r>
    <n v="234"/>
    <x v="4"/>
    <x v="0"/>
    <x v="233"/>
    <n v="5152908567"/>
    <n v="26"/>
    <x v="8"/>
    <n v="521"/>
    <x v="1"/>
    <x v="1"/>
    <n v="22"/>
    <n v="30"/>
    <n v="660"/>
    <x v="1"/>
  </r>
  <r>
    <n v="235"/>
    <x v="6"/>
    <x v="0"/>
    <x v="234"/>
    <n v="6002492866"/>
    <n v="26"/>
    <x v="8"/>
    <n v="454"/>
    <x v="5"/>
    <x v="0"/>
    <n v="70"/>
    <n v="15"/>
    <n v="1050"/>
    <x v="1"/>
  </r>
  <r>
    <n v="236"/>
    <x v="6"/>
    <x v="0"/>
    <x v="235"/>
    <n v="5459986097"/>
    <n v="26"/>
    <x v="8"/>
    <n v="240"/>
    <x v="0"/>
    <x v="0"/>
    <n v="54"/>
    <n v="45"/>
    <n v="2430"/>
    <x v="2"/>
  </r>
  <r>
    <n v="237"/>
    <x v="6"/>
    <x v="0"/>
    <x v="236"/>
    <n v="6376647869"/>
    <n v="26"/>
    <x v="8"/>
    <n v="521"/>
    <x v="1"/>
    <x v="1"/>
    <n v="29"/>
    <n v="30"/>
    <n v="870"/>
    <x v="2"/>
  </r>
  <r>
    <n v="238"/>
    <x v="6"/>
    <x v="0"/>
    <x v="237"/>
    <n v="6002492866"/>
    <n v="26"/>
    <x v="8"/>
    <n v="454"/>
    <x v="5"/>
    <x v="0"/>
    <n v="42"/>
    <n v="15"/>
    <n v="630"/>
    <x v="1"/>
  </r>
  <r>
    <n v="239"/>
    <x v="6"/>
    <x v="0"/>
    <x v="238"/>
    <n v="5459986097"/>
    <n v="26"/>
    <x v="8"/>
    <n v="240"/>
    <x v="0"/>
    <x v="0"/>
    <n v="27"/>
    <n v="45"/>
    <n v="1215"/>
    <x v="2"/>
  </r>
  <r>
    <n v="240"/>
    <x v="6"/>
    <x v="0"/>
    <x v="239"/>
    <n v="6376647869"/>
    <n v="26"/>
    <x v="8"/>
    <n v="521"/>
    <x v="1"/>
    <x v="1"/>
    <n v="96"/>
    <n v="30"/>
    <n v="2880"/>
    <x v="2"/>
  </r>
  <r>
    <n v="241"/>
    <x v="6"/>
    <x v="0"/>
    <x v="240"/>
    <n v="6002492866"/>
    <n v="26"/>
    <x v="8"/>
    <n v="454"/>
    <x v="5"/>
    <x v="0"/>
    <n v="39"/>
    <n v="15"/>
    <n v="585"/>
    <x v="1"/>
  </r>
  <r>
    <n v="242"/>
    <x v="6"/>
    <x v="0"/>
    <x v="241"/>
    <n v="5459986097"/>
    <n v="26"/>
    <x v="8"/>
    <n v="240"/>
    <x v="0"/>
    <x v="0"/>
    <n v="43"/>
    <n v="45"/>
    <n v="1935"/>
    <x v="2"/>
  </r>
  <r>
    <n v="243"/>
    <x v="6"/>
    <x v="0"/>
    <x v="242"/>
    <n v="6376647869"/>
    <n v="26"/>
    <x v="8"/>
    <n v="521"/>
    <x v="1"/>
    <x v="1"/>
    <n v="85"/>
    <n v="30"/>
    <n v="2550"/>
    <x v="2"/>
  </r>
  <r>
    <n v="244"/>
    <x v="6"/>
    <x v="0"/>
    <x v="243"/>
    <n v="6002492866"/>
    <n v="26"/>
    <x v="8"/>
    <n v="454"/>
    <x v="5"/>
    <x v="0"/>
    <n v="46"/>
    <n v="15"/>
    <n v="690"/>
    <x v="1"/>
  </r>
  <r>
    <n v="245"/>
    <x v="6"/>
    <x v="0"/>
    <x v="244"/>
    <n v="5459986097"/>
    <n v="30"/>
    <x v="9"/>
    <n v="240"/>
    <x v="0"/>
    <x v="0"/>
    <n v="79"/>
    <n v="45"/>
    <n v="3555"/>
    <x v="2"/>
  </r>
  <r>
    <n v="246"/>
    <x v="6"/>
    <x v="0"/>
    <x v="245"/>
    <n v="6376647869"/>
    <n v="30"/>
    <x v="9"/>
    <n v="521"/>
    <x v="1"/>
    <x v="1"/>
    <n v="23"/>
    <n v="30"/>
    <n v="690"/>
    <x v="2"/>
  </r>
  <r>
    <n v="247"/>
    <x v="6"/>
    <x v="0"/>
    <x v="246"/>
    <n v="6002492866"/>
    <n v="30"/>
    <x v="9"/>
    <n v="454"/>
    <x v="5"/>
    <x v="0"/>
    <n v="31"/>
    <n v="15"/>
    <n v="465"/>
    <x v="1"/>
  </r>
  <r>
    <n v="248"/>
    <x v="6"/>
    <x v="0"/>
    <x v="247"/>
    <n v="5459986097"/>
    <n v="30"/>
    <x v="9"/>
    <n v="240"/>
    <x v="0"/>
    <x v="0"/>
    <n v="26"/>
    <n v="45"/>
    <n v="1170"/>
    <x v="2"/>
  </r>
  <r>
    <n v="249"/>
    <x v="6"/>
    <x v="0"/>
    <x v="248"/>
    <n v="6376647869"/>
    <n v="30"/>
    <x v="9"/>
    <n v="521"/>
    <x v="1"/>
    <x v="1"/>
    <n v="47"/>
    <n v="30"/>
    <n v="1410"/>
    <x v="2"/>
  </r>
  <r>
    <n v="250"/>
    <x v="6"/>
    <x v="0"/>
    <x v="249"/>
    <n v="6002492866"/>
    <n v="30"/>
    <x v="9"/>
    <n v="454"/>
    <x v="5"/>
    <x v="0"/>
    <n v="55"/>
    <n v="15"/>
    <n v="825"/>
    <x v="1"/>
  </r>
  <r>
    <n v="251"/>
    <x v="6"/>
    <x v="0"/>
    <x v="250"/>
    <n v="5459986097"/>
    <n v="30"/>
    <x v="9"/>
    <n v="240"/>
    <x v="0"/>
    <x v="0"/>
    <n v="68"/>
    <n v="45"/>
    <n v="3060"/>
    <x v="2"/>
  </r>
  <r>
    <n v="252"/>
    <x v="6"/>
    <x v="0"/>
    <x v="251"/>
    <n v="6376647869"/>
    <n v="30"/>
    <x v="9"/>
    <n v="521"/>
    <x v="1"/>
    <x v="1"/>
    <n v="42"/>
    <n v="30"/>
    <n v="1260"/>
    <x v="2"/>
  </r>
  <r>
    <n v="253"/>
    <x v="8"/>
    <x v="4"/>
    <x v="252"/>
    <n v="598769341"/>
    <n v="30"/>
    <x v="9"/>
    <n v="793"/>
    <x v="0"/>
    <x v="0"/>
    <n v="31"/>
    <n v="35"/>
    <n v="1085"/>
    <x v="0"/>
  </r>
  <r>
    <n v="254"/>
    <x v="8"/>
    <x v="4"/>
    <x v="253"/>
    <n v="6415166145"/>
    <n v="30"/>
    <x v="9"/>
    <n v="568"/>
    <x v="3"/>
    <x v="2"/>
    <n v="76"/>
    <n v="1"/>
    <n v="76"/>
    <x v="0"/>
  </r>
  <r>
    <n v="255"/>
    <x v="8"/>
    <x v="4"/>
    <x v="254"/>
    <n v="8120732751"/>
    <n v="30"/>
    <x v="9"/>
    <n v="534"/>
    <x v="0"/>
    <x v="0"/>
    <n v="40"/>
    <n v="25"/>
    <n v="1000"/>
    <x v="2"/>
  </r>
  <r>
    <n v="256"/>
    <x v="8"/>
    <x v="4"/>
    <x v="255"/>
    <n v="598769341"/>
    <n v="30"/>
    <x v="9"/>
    <n v="793"/>
    <x v="0"/>
    <x v="0"/>
    <n v="97"/>
    <n v="35"/>
    <n v="3395"/>
    <x v="0"/>
  </r>
  <r>
    <n v="257"/>
    <x v="8"/>
    <x v="4"/>
    <x v="256"/>
    <n v="6415166145"/>
    <n v="30"/>
    <x v="9"/>
    <n v="568"/>
    <x v="3"/>
    <x v="2"/>
    <n v="23"/>
    <n v="1"/>
    <n v="23"/>
    <x v="0"/>
  </r>
  <r>
    <n v="258"/>
    <x v="8"/>
    <x v="4"/>
    <x v="257"/>
    <n v="8120732751"/>
    <n v="30"/>
    <x v="9"/>
    <n v="534"/>
    <x v="0"/>
    <x v="0"/>
    <n v="61"/>
    <n v="25"/>
    <n v="1525"/>
    <x v="2"/>
  </r>
  <r>
    <n v="259"/>
    <x v="8"/>
    <x v="4"/>
    <x v="258"/>
    <n v="598769341"/>
    <n v="30"/>
    <x v="9"/>
    <n v="793"/>
    <x v="0"/>
    <x v="0"/>
    <n v="94"/>
    <n v="35"/>
    <n v="3290"/>
    <x v="0"/>
  </r>
  <r>
    <n v="260"/>
    <x v="8"/>
    <x v="4"/>
    <x v="259"/>
    <n v="6415166145"/>
    <n v="30"/>
    <x v="9"/>
    <n v="568"/>
    <x v="3"/>
    <x v="2"/>
    <n v="35"/>
    <n v="1"/>
    <n v="35"/>
    <x v="0"/>
  </r>
  <r>
    <n v="261"/>
    <x v="8"/>
    <x v="4"/>
    <x v="260"/>
    <n v="8120732751"/>
    <n v="30"/>
    <x v="9"/>
    <n v="534"/>
    <x v="0"/>
    <x v="0"/>
    <n v="17"/>
    <n v="25"/>
    <n v="425"/>
    <x v="2"/>
  </r>
  <r>
    <n v="262"/>
    <x v="8"/>
    <x v="4"/>
    <x v="261"/>
    <n v="598769341"/>
    <n v="30"/>
    <x v="9"/>
    <n v="793"/>
    <x v="0"/>
    <x v="0"/>
    <n v="40"/>
    <n v="35"/>
    <n v="1400"/>
    <x v="0"/>
  </r>
  <r>
    <n v="263"/>
    <x v="8"/>
    <x v="4"/>
    <x v="262"/>
    <n v="6415166145"/>
    <n v="30"/>
    <x v="9"/>
    <n v="568"/>
    <x v="3"/>
    <x v="2"/>
    <n v="55"/>
    <n v="1"/>
    <n v="55"/>
    <x v="0"/>
  </r>
  <r>
    <n v="264"/>
    <x v="8"/>
    <x v="4"/>
    <x v="263"/>
    <n v="8120732751"/>
    <n v="30"/>
    <x v="9"/>
    <n v="534"/>
    <x v="0"/>
    <x v="0"/>
    <n v="34"/>
    <n v="25"/>
    <n v="850"/>
    <x v="2"/>
  </r>
  <r>
    <n v="265"/>
    <x v="8"/>
    <x v="4"/>
    <x v="264"/>
    <n v="598769341"/>
    <n v="30"/>
    <x v="9"/>
    <n v="793"/>
    <x v="0"/>
    <x v="0"/>
    <n v="79"/>
    <n v="35"/>
    <n v="2765"/>
    <x v="0"/>
  </r>
  <r>
    <n v="266"/>
    <x v="8"/>
    <x v="4"/>
    <x v="265"/>
    <n v="6415166145"/>
    <n v="30"/>
    <x v="9"/>
    <n v="568"/>
    <x v="3"/>
    <x v="2"/>
    <n v="50"/>
    <n v="1"/>
    <n v="50"/>
    <x v="0"/>
  </r>
  <r>
    <n v="267"/>
    <x v="8"/>
    <x v="4"/>
    <x v="266"/>
    <n v="8120732751"/>
    <n v="30"/>
    <x v="9"/>
    <n v="534"/>
    <x v="0"/>
    <x v="0"/>
    <n v="60"/>
    <n v="25"/>
    <n v="1500"/>
    <x v="2"/>
  </r>
  <r>
    <n v="268"/>
    <x v="8"/>
    <x v="4"/>
    <x v="267"/>
    <n v="598769341"/>
    <n v="30"/>
    <x v="9"/>
    <n v="793"/>
    <x v="0"/>
    <x v="0"/>
    <n v="28"/>
    <n v="35"/>
    <n v="980"/>
    <x v="0"/>
  </r>
  <r>
    <n v="269"/>
    <x v="8"/>
    <x v="4"/>
    <x v="268"/>
    <n v="6415166145"/>
    <n v="30"/>
    <x v="9"/>
    <n v="568"/>
    <x v="3"/>
    <x v="2"/>
    <n v="98"/>
    <n v="1"/>
    <n v="98"/>
    <x v="0"/>
  </r>
  <r>
    <n v="270"/>
    <x v="8"/>
    <x v="4"/>
    <x v="269"/>
    <n v="8120732751"/>
    <n v="15"/>
    <x v="10"/>
    <n v="534"/>
    <x v="0"/>
    <x v="0"/>
    <n v="59"/>
    <n v="25"/>
    <n v="1475"/>
    <x v="2"/>
  </r>
  <r>
    <n v="271"/>
    <x v="11"/>
    <x v="4"/>
    <x v="270"/>
    <n v="9342769423"/>
    <n v="15"/>
    <x v="10"/>
    <n v="521"/>
    <x v="1"/>
    <x v="1"/>
    <n v="74"/>
    <n v="30"/>
    <n v="2220"/>
    <x v="2"/>
  </r>
  <r>
    <n v="272"/>
    <x v="11"/>
    <x v="4"/>
    <x v="271"/>
    <n v="9342769423"/>
    <n v="15"/>
    <x v="10"/>
    <n v="521"/>
    <x v="1"/>
    <x v="1"/>
    <n v="59"/>
    <n v="30"/>
    <n v="1770"/>
    <x v="2"/>
  </r>
  <r>
    <n v="273"/>
    <x v="11"/>
    <x v="4"/>
    <x v="272"/>
    <n v="9342769423"/>
    <n v="15"/>
    <x v="10"/>
    <n v="521"/>
    <x v="1"/>
    <x v="1"/>
    <n v="53"/>
    <n v="30"/>
    <n v="1590"/>
    <x v="2"/>
  </r>
  <r>
    <n v="274"/>
    <x v="11"/>
    <x v="4"/>
    <x v="273"/>
    <n v="9342769423"/>
    <n v="15"/>
    <x v="10"/>
    <n v="521"/>
    <x v="1"/>
    <x v="1"/>
    <n v="21"/>
    <n v="30"/>
    <n v="630"/>
    <x v="2"/>
  </r>
  <r>
    <n v="275"/>
    <x v="11"/>
    <x v="4"/>
    <x v="274"/>
    <n v="9342769423"/>
    <n v="15"/>
    <x v="10"/>
    <n v="521"/>
    <x v="1"/>
    <x v="1"/>
    <n v="96"/>
    <n v="30"/>
    <n v="2880"/>
    <x v="2"/>
  </r>
  <r>
    <n v="276"/>
    <x v="11"/>
    <x v="4"/>
    <x v="275"/>
    <n v="9342769423"/>
    <n v="15"/>
    <x v="10"/>
    <n v="521"/>
    <x v="1"/>
    <x v="1"/>
    <n v="71"/>
    <n v="30"/>
    <n v="2130"/>
    <x v="2"/>
  </r>
  <r>
    <n v="277"/>
    <x v="10"/>
    <x v="4"/>
    <x v="276"/>
    <n v="7945701336"/>
    <n v="15"/>
    <x v="10"/>
    <n v="521"/>
    <x v="1"/>
    <x v="1"/>
    <n v="46"/>
    <n v="30"/>
    <n v="1380"/>
    <x v="0"/>
  </r>
  <r>
    <n v="278"/>
    <x v="10"/>
    <x v="4"/>
    <x v="277"/>
    <n v="7945701336"/>
    <n v="15"/>
    <x v="10"/>
    <n v="521"/>
    <x v="1"/>
    <x v="1"/>
    <n v="29"/>
    <n v="30"/>
    <n v="870"/>
    <x v="0"/>
  </r>
  <r>
    <n v="279"/>
    <x v="10"/>
    <x v="4"/>
    <x v="278"/>
    <n v="7945701336"/>
    <n v="15"/>
    <x v="10"/>
    <n v="521"/>
    <x v="1"/>
    <x v="1"/>
    <n v="79"/>
    <n v="30"/>
    <n v="2370"/>
    <x v="0"/>
  </r>
  <r>
    <n v="280"/>
    <x v="10"/>
    <x v="4"/>
    <x v="279"/>
    <n v="7945701336"/>
    <n v="45"/>
    <x v="11"/>
    <n v="521"/>
    <x v="1"/>
    <x v="1"/>
    <n v="89"/>
    <n v="30"/>
    <n v="2670"/>
    <x v="0"/>
  </r>
  <r>
    <n v="281"/>
    <x v="10"/>
    <x v="4"/>
    <x v="280"/>
    <n v="7945701336"/>
    <n v="45"/>
    <x v="11"/>
    <n v="521"/>
    <x v="1"/>
    <x v="1"/>
    <n v="51"/>
    <n v="30"/>
    <n v="1530"/>
    <x v="0"/>
  </r>
  <r>
    <n v="282"/>
    <x v="10"/>
    <x v="4"/>
    <x v="281"/>
    <n v="7945701336"/>
    <n v="45"/>
    <x v="11"/>
    <n v="521"/>
    <x v="1"/>
    <x v="1"/>
    <n v="91"/>
    <n v="30"/>
    <n v="2730"/>
    <x v="0"/>
  </r>
  <r>
    <n v="283"/>
    <x v="12"/>
    <x v="4"/>
    <x v="282"/>
    <n v="8600395106"/>
    <n v="45"/>
    <x v="11"/>
    <n v="909"/>
    <x v="2"/>
    <x v="0"/>
    <n v="25"/>
    <n v="50"/>
    <n v="1250"/>
    <x v="0"/>
  </r>
  <r>
    <n v="284"/>
    <x v="12"/>
    <x v="4"/>
    <x v="283"/>
    <n v="9434267034"/>
    <n v="45"/>
    <x v="11"/>
    <n v="534"/>
    <x v="0"/>
    <x v="0"/>
    <n v="40"/>
    <n v="25"/>
    <n v="1000"/>
    <x v="2"/>
  </r>
  <r>
    <n v="285"/>
    <x v="12"/>
    <x v="4"/>
    <x v="284"/>
    <n v="8828315322"/>
    <n v="45"/>
    <x v="11"/>
    <n v="454"/>
    <x v="5"/>
    <x v="0"/>
    <n v="31"/>
    <n v="15"/>
    <n v="465"/>
    <x v="1"/>
  </r>
  <r>
    <n v="286"/>
    <x v="12"/>
    <x v="4"/>
    <x v="285"/>
    <n v="5074446054"/>
    <n v="45"/>
    <x v="11"/>
    <n v="521"/>
    <x v="1"/>
    <x v="1"/>
    <n v="85"/>
    <n v="30"/>
    <n v="2550"/>
    <x v="2"/>
  </r>
  <r>
    <n v="287"/>
    <x v="12"/>
    <x v="4"/>
    <x v="286"/>
    <n v="5510966038"/>
    <n v="45"/>
    <x v="11"/>
    <n v="548"/>
    <x v="2"/>
    <x v="0"/>
    <n v="15"/>
    <n v="90"/>
    <n v="1350"/>
    <x v="1"/>
  </r>
  <r>
    <n v="288"/>
    <x v="12"/>
    <x v="4"/>
    <x v="287"/>
    <n v="8600395106"/>
    <n v="45"/>
    <x v="11"/>
    <n v="909"/>
    <x v="2"/>
    <x v="0"/>
    <n v="32"/>
    <n v="50"/>
    <n v="1600"/>
    <x v="0"/>
  </r>
  <r>
    <n v="289"/>
    <x v="12"/>
    <x v="4"/>
    <x v="288"/>
    <n v="9434267034"/>
    <n v="15"/>
    <x v="10"/>
    <n v="534"/>
    <x v="0"/>
    <x v="0"/>
    <n v="71"/>
    <n v="25"/>
    <n v="1775"/>
    <x v="2"/>
  </r>
  <r>
    <n v="290"/>
    <x v="12"/>
    <x v="4"/>
    <x v="289"/>
    <n v="8828315322"/>
    <n v="15"/>
    <x v="10"/>
    <n v="454"/>
    <x v="5"/>
    <x v="0"/>
    <n v="92"/>
    <n v="15"/>
    <n v="1380"/>
    <x v="1"/>
  </r>
  <r>
    <n v="291"/>
    <x v="12"/>
    <x v="4"/>
    <x v="290"/>
    <n v="5074446054"/>
    <n v="15"/>
    <x v="10"/>
    <n v="521"/>
    <x v="1"/>
    <x v="1"/>
    <n v="59"/>
    <n v="30"/>
    <n v="1770"/>
    <x v="2"/>
  </r>
  <r>
    <n v="292"/>
    <x v="12"/>
    <x v="4"/>
    <x v="291"/>
    <n v="5510966038"/>
    <n v="15"/>
    <x v="10"/>
    <n v="548"/>
    <x v="2"/>
    <x v="0"/>
    <n v="57"/>
    <n v="90"/>
    <n v="5130"/>
    <x v="1"/>
  </r>
  <r>
    <n v="293"/>
    <x v="12"/>
    <x v="4"/>
    <x v="292"/>
    <n v="8600395106"/>
    <n v="15"/>
    <x v="10"/>
    <n v="909"/>
    <x v="2"/>
    <x v="0"/>
    <n v="25"/>
    <n v="50"/>
    <n v="1250"/>
    <x v="0"/>
  </r>
  <r>
    <n v="294"/>
    <x v="12"/>
    <x v="4"/>
    <x v="293"/>
    <n v="9434267034"/>
    <n v="15"/>
    <x v="10"/>
    <n v="534"/>
    <x v="0"/>
    <x v="0"/>
    <n v="40"/>
    <n v="25"/>
    <n v="1000"/>
    <x v="2"/>
  </r>
  <r>
    <n v="295"/>
    <x v="12"/>
    <x v="4"/>
    <x v="294"/>
    <n v="8828315322"/>
    <n v="15"/>
    <x v="10"/>
    <n v="454"/>
    <x v="5"/>
    <x v="0"/>
    <n v="78"/>
    <n v="15"/>
    <n v="1170"/>
    <x v="1"/>
  </r>
  <r>
    <n v="296"/>
    <x v="12"/>
    <x v="4"/>
    <x v="295"/>
    <n v="5074446054"/>
    <n v="15"/>
    <x v="10"/>
    <n v="521"/>
    <x v="1"/>
    <x v="1"/>
    <n v="57"/>
    <n v="30"/>
    <n v="1710"/>
    <x v="2"/>
  </r>
  <r>
    <n v="297"/>
    <x v="12"/>
    <x v="4"/>
    <x v="296"/>
    <n v="5510966038"/>
    <n v="15"/>
    <x v="10"/>
    <n v="548"/>
    <x v="2"/>
    <x v="0"/>
    <n v="59"/>
    <n v="90"/>
    <n v="5310"/>
    <x v="1"/>
  </r>
  <r>
    <n v="298"/>
    <x v="12"/>
    <x v="4"/>
    <x v="297"/>
    <n v="8600395106"/>
    <n v="15"/>
    <x v="10"/>
    <n v="909"/>
    <x v="2"/>
    <x v="0"/>
    <n v="92"/>
    <n v="50"/>
    <n v="4600"/>
    <x v="0"/>
  </r>
  <r>
    <n v="299"/>
    <x v="12"/>
    <x v="4"/>
    <x v="298"/>
    <n v="9434267034"/>
    <n v="15"/>
    <x v="10"/>
    <n v="534"/>
    <x v="0"/>
    <x v="0"/>
    <n v="23"/>
    <n v="25"/>
    <n v="575"/>
    <x v="2"/>
  </r>
  <r>
    <n v="300"/>
    <x v="12"/>
    <x v="4"/>
    <x v="299"/>
    <n v="8828315322"/>
    <n v="15"/>
    <x v="10"/>
    <n v="454"/>
    <x v="5"/>
    <x v="0"/>
    <n v="16"/>
    <n v="15"/>
    <n v="240"/>
    <x v="1"/>
  </r>
  <r>
    <n v="301"/>
    <x v="12"/>
    <x v="4"/>
    <x v="300"/>
    <n v="5074446054"/>
    <n v="47"/>
    <x v="12"/>
    <n v="521"/>
    <x v="1"/>
    <x v="1"/>
    <n v="43"/>
    <n v="30"/>
    <n v="1290"/>
    <x v="2"/>
  </r>
  <r>
    <n v="302"/>
    <x v="12"/>
    <x v="4"/>
    <x v="301"/>
    <n v="5510966038"/>
    <n v="47"/>
    <x v="12"/>
    <n v="548"/>
    <x v="2"/>
    <x v="0"/>
    <n v="44"/>
    <n v="90"/>
    <n v="3960"/>
    <x v="1"/>
  </r>
  <r>
    <n v="303"/>
    <x v="12"/>
    <x v="4"/>
    <x v="302"/>
    <n v="8600395106"/>
    <n v="47"/>
    <x v="12"/>
    <n v="909"/>
    <x v="2"/>
    <x v="0"/>
    <n v="65"/>
    <n v="50"/>
    <n v="3250"/>
    <x v="0"/>
  </r>
  <r>
    <n v="304"/>
    <x v="12"/>
    <x v="4"/>
    <x v="303"/>
    <n v="9434267034"/>
    <n v="47"/>
    <x v="12"/>
    <n v="534"/>
    <x v="0"/>
    <x v="0"/>
    <n v="34"/>
    <n v="25"/>
    <n v="850"/>
    <x v="2"/>
  </r>
  <r>
    <n v="305"/>
    <x v="12"/>
    <x v="4"/>
    <x v="304"/>
    <n v="8828315322"/>
    <n v="47"/>
    <x v="12"/>
    <n v="454"/>
    <x v="5"/>
    <x v="0"/>
    <n v="10"/>
    <n v="15"/>
    <n v="150"/>
    <x v="1"/>
  </r>
  <r>
    <n v="306"/>
    <x v="12"/>
    <x v="4"/>
    <x v="305"/>
    <n v="5074446054"/>
    <n v="47"/>
    <x v="12"/>
    <n v="521"/>
    <x v="1"/>
    <x v="1"/>
    <n v="34"/>
    <n v="30"/>
    <n v="1020"/>
    <x v="2"/>
  </r>
  <r>
    <n v="307"/>
    <x v="12"/>
    <x v="4"/>
    <x v="306"/>
    <n v="5510966038"/>
    <n v="47"/>
    <x v="12"/>
    <n v="548"/>
    <x v="2"/>
    <x v="0"/>
    <n v="22"/>
    <n v="90"/>
    <n v="1980"/>
    <x v="1"/>
  </r>
  <r>
    <n v="308"/>
    <x v="12"/>
    <x v="4"/>
    <x v="307"/>
    <n v="8600395106"/>
    <n v="47"/>
    <x v="12"/>
    <n v="909"/>
    <x v="2"/>
    <x v="0"/>
    <n v="57"/>
    <n v="50"/>
    <n v="2850"/>
    <x v="0"/>
  </r>
  <r>
    <n v="309"/>
    <x v="12"/>
    <x v="4"/>
    <x v="308"/>
    <n v="9434267034"/>
    <n v="15"/>
    <x v="10"/>
    <n v="534"/>
    <x v="0"/>
    <x v="0"/>
    <n v="43"/>
    <n v="25"/>
    <n v="1075"/>
    <x v="2"/>
  </r>
  <r>
    <n v="310"/>
    <x v="12"/>
    <x v="4"/>
    <x v="309"/>
    <n v="8828315322"/>
    <n v="15"/>
    <x v="10"/>
    <n v="454"/>
    <x v="5"/>
    <x v="0"/>
    <n v="23"/>
    <n v="15"/>
    <n v="345"/>
    <x v="1"/>
  </r>
  <r>
    <n v="311"/>
    <x v="12"/>
    <x v="4"/>
    <x v="310"/>
    <n v="5074446054"/>
    <n v="15"/>
    <x v="10"/>
    <n v="521"/>
    <x v="1"/>
    <x v="1"/>
    <n v="41"/>
    <n v="30"/>
    <n v="1230"/>
    <x v="2"/>
  </r>
  <r>
    <n v="312"/>
    <x v="12"/>
    <x v="4"/>
    <x v="311"/>
    <n v="5510966038"/>
    <n v="15"/>
    <x v="10"/>
    <n v="548"/>
    <x v="2"/>
    <x v="0"/>
    <n v="93"/>
    <n v="90"/>
    <n v="8370"/>
    <x v="1"/>
  </r>
  <r>
    <n v="313"/>
    <x v="7"/>
    <x v="4"/>
    <x v="312"/>
    <n v="601099509"/>
    <n v="22"/>
    <x v="13"/>
    <n v="521"/>
    <x v="1"/>
    <x v="1"/>
    <n v="58"/>
    <n v="30"/>
    <n v="1740"/>
    <x v="0"/>
  </r>
  <r>
    <n v="314"/>
    <x v="7"/>
    <x v="4"/>
    <x v="313"/>
    <n v="601099509"/>
    <n v="22"/>
    <x v="13"/>
    <n v="521"/>
    <x v="1"/>
    <x v="1"/>
    <n v="36"/>
    <n v="30"/>
    <n v="1080"/>
    <x v="0"/>
  </r>
  <r>
    <n v="315"/>
    <x v="7"/>
    <x v="4"/>
    <x v="314"/>
    <n v="601099509"/>
    <n v="22"/>
    <x v="13"/>
    <n v="521"/>
    <x v="1"/>
    <x v="1"/>
    <n v="66"/>
    <n v="30"/>
    <n v="1980"/>
    <x v="0"/>
  </r>
  <r>
    <n v="316"/>
    <x v="7"/>
    <x v="4"/>
    <x v="315"/>
    <n v="601099509"/>
    <n v="22"/>
    <x v="13"/>
    <n v="521"/>
    <x v="1"/>
    <x v="1"/>
    <n v="89"/>
    <n v="30"/>
    <n v="2670"/>
    <x v="0"/>
  </r>
  <r>
    <n v="317"/>
    <x v="7"/>
    <x v="4"/>
    <x v="316"/>
    <n v="601099509"/>
    <n v="22"/>
    <x v="13"/>
    <n v="521"/>
    <x v="1"/>
    <x v="1"/>
    <n v="96"/>
    <n v="30"/>
    <n v="2880"/>
    <x v="0"/>
  </r>
  <r>
    <n v="318"/>
    <x v="7"/>
    <x v="4"/>
    <x v="317"/>
    <n v="601099509"/>
    <n v="22"/>
    <x v="13"/>
    <n v="521"/>
    <x v="1"/>
    <x v="1"/>
    <n v="10"/>
    <n v="30"/>
    <n v="300"/>
    <x v="0"/>
  </r>
  <r>
    <n v="319"/>
    <x v="8"/>
    <x v="4"/>
    <x v="318"/>
    <n v="8088850186"/>
    <n v="22"/>
    <x v="13"/>
    <n v="454"/>
    <x v="5"/>
    <x v="0"/>
    <n v="60"/>
    <n v="15"/>
    <n v="900"/>
    <x v="2"/>
  </r>
  <r>
    <n v="320"/>
    <x v="8"/>
    <x v="4"/>
    <x v="319"/>
    <n v="5224952996"/>
    <n v="22"/>
    <x v="13"/>
    <n v="454"/>
    <x v="5"/>
    <x v="0"/>
    <n v="82"/>
    <n v="15"/>
    <n v="1230"/>
    <x v="2"/>
  </r>
  <r>
    <n v="321"/>
    <x v="8"/>
    <x v="4"/>
    <x v="320"/>
    <n v="126577112"/>
    <n v="22"/>
    <x v="13"/>
    <n v="704"/>
    <x v="4"/>
    <x v="0"/>
    <n v="64"/>
    <n v="60"/>
    <n v="3840"/>
    <x v="0"/>
  </r>
  <r>
    <n v="322"/>
    <x v="8"/>
    <x v="4"/>
    <x v="321"/>
    <n v="8088850186"/>
    <n v="22"/>
    <x v="13"/>
    <n v="454"/>
    <x v="5"/>
    <x v="0"/>
    <n v="27"/>
    <n v="15"/>
    <n v="405"/>
    <x v="2"/>
  </r>
  <r>
    <n v="323"/>
    <x v="8"/>
    <x v="4"/>
    <x v="322"/>
    <n v="5224952996"/>
    <n v="22"/>
    <x v="13"/>
    <n v="454"/>
    <x v="5"/>
    <x v="0"/>
    <n v="52"/>
    <n v="15"/>
    <n v="780"/>
    <x v="2"/>
  </r>
  <r>
    <n v="324"/>
    <x v="8"/>
    <x v="4"/>
    <x v="323"/>
    <n v="126577112"/>
    <n v="22"/>
    <x v="13"/>
    <n v="704"/>
    <x v="4"/>
    <x v="0"/>
    <n v="84"/>
    <n v="60"/>
    <n v="5040"/>
    <x v="0"/>
  </r>
  <r>
    <n v="325"/>
    <x v="8"/>
    <x v="4"/>
    <x v="324"/>
    <n v="8088850186"/>
    <n v="22"/>
    <x v="13"/>
    <n v="454"/>
    <x v="5"/>
    <x v="0"/>
    <n v="17"/>
    <n v="15"/>
    <n v="255"/>
    <x v="2"/>
  </r>
  <r>
    <n v="326"/>
    <x v="8"/>
    <x v="4"/>
    <x v="325"/>
    <n v="5224952996"/>
    <n v="49"/>
    <x v="14"/>
    <n v="454"/>
    <x v="5"/>
    <x v="0"/>
    <n v="28"/>
    <n v="15"/>
    <n v="420"/>
    <x v="2"/>
  </r>
  <r>
    <n v="327"/>
    <x v="8"/>
    <x v="4"/>
    <x v="326"/>
    <n v="126577112"/>
    <n v="49"/>
    <x v="14"/>
    <n v="704"/>
    <x v="4"/>
    <x v="0"/>
    <n v="93"/>
    <n v="60"/>
    <n v="5580"/>
    <x v="0"/>
  </r>
  <r>
    <n v="328"/>
    <x v="8"/>
    <x v="4"/>
    <x v="327"/>
    <n v="8088850186"/>
    <n v="49"/>
    <x v="14"/>
    <n v="454"/>
    <x v="5"/>
    <x v="0"/>
    <n v="94"/>
    <n v="15"/>
    <n v="1410"/>
    <x v="2"/>
  </r>
  <r>
    <n v="329"/>
    <x v="8"/>
    <x v="4"/>
    <x v="328"/>
    <n v="5224952996"/>
    <n v="49"/>
    <x v="14"/>
    <n v="454"/>
    <x v="5"/>
    <x v="0"/>
    <n v="97"/>
    <n v="15"/>
    <n v="1455"/>
    <x v="2"/>
  </r>
  <r>
    <n v="330"/>
    <x v="8"/>
    <x v="4"/>
    <x v="329"/>
    <n v="126577112"/>
    <n v="49"/>
    <x v="14"/>
    <n v="704"/>
    <x v="4"/>
    <x v="0"/>
    <n v="71"/>
    <n v="60"/>
    <n v="4260"/>
    <x v="0"/>
  </r>
  <r>
    <n v="331"/>
    <x v="8"/>
    <x v="4"/>
    <x v="330"/>
    <n v="8088850186"/>
    <n v="49"/>
    <x v="14"/>
    <n v="454"/>
    <x v="5"/>
    <x v="0"/>
    <n v="48"/>
    <n v="15"/>
    <n v="720"/>
    <x v="2"/>
  </r>
  <r>
    <n v="332"/>
    <x v="8"/>
    <x v="4"/>
    <x v="331"/>
    <n v="5224952996"/>
    <n v="49"/>
    <x v="14"/>
    <n v="454"/>
    <x v="5"/>
    <x v="0"/>
    <n v="96"/>
    <n v="15"/>
    <n v="1440"/>
    <x v="2"/>
  </r>
  <r>
    <n v="333"/>
    <x v="8"/>
    <x v="4"/>
    <x v="332"/>
    <n v="126577112"/>
    <n v="49"/>
    <x v="14"/>
    <n v="704"/>
    <x v="4"/>
    <x v="0"/>
    <n v="80"/>
    <n v="60"/>
    <n v="4800"/>
    <x v="0"/>
  </r>
  <r>
    <n v="334"/>
    <x v="8"/>
    <x v="4"/>
    <x v="333"/>
    <n v="8088850186"/>
    <n v="22"/>
    <x v="13"/>
    <n v="454"/>
    <x v="5"/>
    <x v="0"/>
    <n v="41"/>
    <n v="15"/>
    <n v="615"/>
    <x v="2"/>
  </r>
  <r>
    <n v="335"/>
    <x v="8"/>
    <x v="4"/>
    <x v="334"/>
    <n v="5224952996"/>
    <n v="22"/>
    <x v="13"/>
    <n v="454"/>
    <x v="5"/>
    <x v="0"/>
    <n v="46"/>
    <n v="15"/>
    <n v="690"/>
    <x v="2"/>
  </r>
  <r>
    <n v="336"/>
    <x v="8"/>
    <x v="4"/>
    <x v="335"/>
    <n v="126577112"/>
    <n v="22"/>
    <x v="13"/>
    <n v="704"/>
    <x v="4"/>
    <x v="0"/>
    <n v="32"/>
    <n v="60"/>
    <n v="1920"/>
    <x v="0"/>
  </r>
  <r>
    <n v="337"/>
    <x v="10"/>
    <x v="4"/>
    <x v="336"/>
    <n v="4264555207"/>
    <n v="31"/>
    <x v="15"/>
    <n v="240"/>
    <x v="0"/>
    <x v="0"/>
    <n v="60"/>
    <n v="45"/>
    <n v="2700"/>
    <x v="0"/>
  </r>
  <r>
    <n v="338"/>
    <x v="10"/>
    <x v="4"/>
    <x v="337"/>
    <n v="4264555207"/>
    <n v="31"/>
    <x v="15"/>
    <n v="240"/>
    <x v="0"/>
    <x v="0"/>
    <n v="17"/>
    <n v="45"/>
    <n v="765"/>
    <x v="0"/>
  </r>
  <r>
    <n v="339"/>
    <x v="10"/>
    <x v="4"/>
    <x v="338"/>
    <n v="4264555207"/>
    <n v="31"/>
    <x v="15"/>
    <n v="240"/>
    <x v="0"/>
    <x v="0"/>
    <n v="92"/>
    <n v="45"/>
    <n v="4140"/>
    <x v="0"/>
  </r>
  <r>
    <n v="340"/>
    <x v="10"/>
    <x v="4"/>
    <x v="339"/>
    <n v="4264555207"/>
    <n v="31"/>
    <x v="15"/>
    <n v="240"/>
    <x v="0"/>
    <x v="0"/>
    <n v="14"/>
    <n v="45"/>
    <n v="630"/>
    <x v="0"/>
  </r>
  <r>
    <n v="341"/>
    <x v="10"/>
    <x v="4"/>
    <x v="340"/>
    <n v="4264555207"/>
    <n v="31"/>
    <x v="15"/>
    <n v="240"/>
    <x v="0"/>
    <x v="0"/>
    <n v="67"/>
    <n v="45"/>
    <n v="3015"/>
    <x v="0"/>
  </r>
  <r>
    <n v="342"/>
    <x v="10"/>
    <x v="4"/>
    <x v="341"/>
    <n v="4264555207"/>
    <n v="31"/>
    <x v="15"/>
    <n v="240"/>
    <x v="0"/>
    <x v="0"/>
    <n v="23"/>
    <n v="45"/>
    <n v="1035"/>
    <x v="0"/>
  </r>
  <r>
    <n v="343"/>
    <x v="7"/>
    <x v="4"/>
    <x v="342"/>
    <n v="1458538534"/>
    <n v="31"/>
    <x v="15"/>
    <n v="195"/>
    <x v="4"/>
    <x v="0"/>
    <n v="87"/>
    <n v="60"/>
    <n v="5220"/>
    <x v="1"/>
  </r>
  <r>
    <n v="344"/>
    <x v="7"/>
    <x v="4"/>
    <x v="343"/>
    <n v="1458538534"/>
    <n v="31"/>
    <x v="15"/>
    <n v="195"/>
    <x v="4"/>
    <x v="0"/>
    <n v="94"/>
    <n v="60"/>
    <n v="5640"/>
    <x v="1"/>
  </r>
  <r>
    <n v="345"/>
    <x v="7"/>
    <x v="4"/>
    <x v="344"/>
    <n v="1458538534"/>
    <n v="31"/>
    <x v="15"/>
    <n v="195"/>
    <x v="4"/>
    <x v="0"/>
    <n v="29"/>
    <n v="60"/>
    <n v="1740"/>
    <x v="1"/>
  </r>
  <r>
    <n v="346"/>
    <x v="7"/>
    <x v="4"/>
    <x v="345"/>
    <n v="1458538534"/>
    <n v="31"/>
    <x v="15"/>
    <n v="195"/>
    <x v="4"/>
    <x v="0"/>
    <n v="39"/>
    <n v="60"/>
    <n v="2340"/>
    <x v="1"/>
  </r>
  <r>
    <n v="347"/>
    <x v="7"/>
    <x v="4"/>
    <x v="346"/>
    <n v="1458538534"/>
    <n v="31"/>
    <x v="15"/>
    <n v="195"/>
    <x v="4"/>
    <x v="0"/>
    <n v="96"/>
    <n v="60"/>
    <n v="5760"/>
    <x v="1"/>
  </r>
  <r>
    <n v="348"/>
    <x v="7"/>
    <x v="4"/>
    <x v="347"/>
    <n v="1458538534"/>
    <n v="31"/>
    <x v="15"/>
    <n v="195"/>
    <x v="4"/>
    <x v="0"/>
    <n v="36"/>
    <n v="60"/>
    <n v="2160"/>
    <x v="1"/>
  </r>
  <r>
    <n v="349"/>
    <x v="8"/>
    <x v="4"/>
    <x v="348"/>
    <n v="7559585521"/>
    <n v="31"/>
    <x v="15"/>
    <n v="909"/>
    <x v="2"/>
    <x v="0"/>
    <n v="85"/>
    <n v="50"/>
    <n v="4250"/>
    <x v="0"/>
  </r>
  <r>
    <n v="350"/>
    <x v="8"/>
    <x v="4"/>
    <x v="349"/>
    <n v="7383733580"/>
    <n v="31"/>
    <x v="15"/>
    <n v="909"/>
    <x v="2"/>
    <x v="0"/>
    <n v="60"/>
    <n v="50"/>
    <n v="3000"/>
    <x v="2"/>
  </r>
  <r>
    <n v="351"/>
    <x v="8"/>
    <x v="4"/>
    <x v="350"/>
    <n v="4309964385"/>
    <n v="31"/>
    <x v="15"/>
    <n v="359"/>
    <x v="0"/>
    <x v="0"/>
    <n v="14"/>
    <n v="25"/>
    <n v="350"/>
    <x v="1"/>
  </r>
  <r>
    <n v="352"/>
    <x v="8"/>
    <x v="4"/>
    <x v="351"/>
    <n v="278031112"/>
    <n v="31"/>
    <x v="15"/>
    <n v="521"/>
    <x v="1"/>
    <x v="1"/>
    <n v="28"/>
    <n v="30"/>
    <n v="840"/>
    <x v="0"/>
  </r>
  <r>
    <n v="353"/>
    <x v="8"/>
    <x v="4"/>
    <x v="352"/>
    <n v="7559585521"/>
    <n v="31"/>
    <x v="15"/>
    <n v="909"/>
    <x v="2"/>
    <x v="0"/>
    <n v="51"/>
    <n v="50"/>
    <n v="2550"/>
    <x v="0"/>
  </r>
  <r>
    <n v="354"/>
    <x v="8"/>
    <x v="4"/>
    <x v="353"/>
    <n v="7383733580"/>
    <n v="31"/>
    <x v="15"/>
    <n v="909"/>
    <x v="2"/>
    <x v="0"/>
    <n v="44"/>
    <n v="50"/>
    <n v="2200"/>
    <x v="2"/>
  </r>
  <r>
    <n v="355"/>
    <x v="8"/>
    <x v="4"/>
    <x v="354"/>
    <n v="4309964385"/>
    <n v="31"/>
    <x v="15"/>
    <n v="359"/>
    <x v="0"/>
    <x v="0"/>
    <n v="27"/>
    <n v="25"/>
    <n v="675"/>
    <x v="1"/>
  </r>
  <r>
    <n v="356"/>
    <x v="8"/>
    <x v="4"/>
    <x v="355"/>
    <n v="278031112"/>
    <n v="31"/>
    <x v="15"/>
    <n v="521"/>
    <x v="1"/>
    <x v="1"/>
    <n v="38"/>
    <n v="30"/>
    <n v="1140"/>
    <x v="0"/>
  </r>
  <r>
    <n v="357"/>
    <x v="8"/>
    <x v="4"/>
    <x v="356"/>
    <n v="7559585521"/>
    <n v="13"/>
    <x v="16"/>
    <n v="909"/>
    <x v="2"/>
    <x v="0"/>
    <n v="25"/>
    <n v="50"/>
    <n v="1250"/>
    <x v="0"/>
  </r>
  <r>
    <n v="358"/>
    <x v="8"/>
    <x v="4"/>
    <x v="357"/>
    <n v="7383733580"/>
    <n v="13"/>
    <x v="16"/>
    <n v="909"/>
    <x v="2"/>
    <x v="0"/>
    <n v="15"/>
    <n v="50"/>
    <n v="750"/>
    <x v="2"/>
  </r>
  <r>
    <n v="359"/>
    <x v="8"/>
    <x v="4"/>
    <x v="358"/>
    <n v="4309964385"/>
    <n v="13"/>
    <x v="16"/>
    <n v="359"/>
    <x v="0"/>
    <x v="0"/>
    <n v="11"/>
    <n v="25"/>
    <n v="275"/>
    <x v="1"/>
  </r>
  <r>
    <n v="360"/>
    <x v="8"/>
    <x v="4"/>
    <x v="359"/>
    <n v="278031112"/>
    <n v="13"/>
    <x v="16"/>
    <n v="521"/>
    <x v="1"/>
    <x v="1"/>
    <n v="43"/>
    <n v="30"/>
    <n v="1290"/>
    <x v="0"/>
  </r>
  <r>
    <n v="361"/>
    <x v="8"/>
    <x v="4"/>
    <x v="360"/>
    <n v="7559585521"/>
    <n v="13"/>
    <x v="16"/>
    <n v="909"/>
    <x v="2"/>
    <x v="0"/>
    <n v="29"/>
    <n v="50"/>
    <n v="1450"/>
    <x v="0"/>
  </r>
  <r>
    <n v="362"/>
    <x v="8"/>
    <x v="4"/>
    <x v="361"/>
    <n v="7383733580"/>
    <n v="13"/>
    <x v="16"/>
    <n v="909"/>
    <x v="2"/>
    <x v="0"/>
    <n v="81"/>
    <n v="50"/>
    <n v="4050"/>
    <x v="2"/>
  </r>
  <r>
    <n v="363"/>
    <x v="8"/>
    <x v="4"/>
    <x v="362"/>
    <n v="4309964385"/>
    <n v="13"/>
    <x v="16"/>
    <n v="359"/>
    <x v="0"/>
    <x v="0"/>
    <n v="67"/>
    <n v="25"/>
    <n v="1675"/>
    <x v="1"/>
  </r>
  <r>
    <n v="364"/>
    <x v="8"/>
    <x v="4"/>
    <x v="363"/>
    <n v="278031112"/>
    <n v="13"/>
    <x v="16"/>
    <n v="521"/>
    <x v="1"/>
    <x v="1"/>
    <n v="23"/>
    <n v="30"/>
    <n v="690"/>
    <x v="0"/>
  </r>
  <r>
    <n v="365"/>
    <x v="8"/>
    <x v="4"/>
    <x v="364"/>
    <n v="7559585521"/>
    <n v="13"/>
    <x v="16"/>
    <n v="909"/>
    <x v="2"/>
    <x v="0"/>
    <n v="16"/>
    <n v="50"/>
    <n v="800"/>
    <x v="0"/>
  </r>
  <r>
    <n v="366"/>
    <x v="8"/>
    <x v="4"/>
    <x v="365"/>
    <n v="7383733580"/>
    <n v="13"/>
    <x v="16"/>
    <n v="909"/>
    <x v="2"/>
    <x v="0"/>
    <n v="28"/>
    <n v="50"/>
    <n v="1400"/>
    <x v="2"/>
  </r>
  <r>
    <n v="367"/>
    <x v="8"/>
    <x v="4"/>
    <x v="366"/>
    <n v="4309964385"/>
    <n v="13"/>
    <x v="16"/>
    <n v="359"/>
    <x v="0"/>
    <x v="0"/>
    <n v="15"/>
    <n v="25"/>
    <n v="375"/>
    <x v="1"/>
  </r>
  <r>
    <n v="368"/>
    <x v="8"/>
    <x v="4"/>
    <x v="367"/>
    <n v="278031112"/>
    <n v="13"/>
    <x v="16"/>
    <n v="521"/>
    <x v="1"/>
    <x v="1"/>
    <n v="98"/>
    <n v="30"/>
    <n v="2940"/>
    <x v="0"/>
  </r>
  <r>
    <n v="369"/>
    <x v="8"/>
    <x v="4"/>
    <x v="368"/>
    <n v="7559585521"/>
    <n v="13"/>
    <x v="16"/>
    <n v="909"/>
    <x v="2"/>
    <x v="0"/>
    <n v="10"/>
    <n v="50"/>
    <n v="500"/>
    <x v="0"/>
  </r>
  <r>
    <n v="370"/>
    <x v="8"/>
    <x v="4"/>
    <x v="369"/>
    <n v="7383733580"/>
    <n v="13"/>
    <x v="16"/>
    <n v="909"/>
    <x v="2"/>
    <x v="0"/>
    <n v="18"/>
    <n v="50"/>
    <n v="900"/>
    <x v="2"/>
  </r>
  <r>
    <n v="371"/>
    <x v="8"/>
    <x v="4"/>
    <x v="370"/>
    <n v="4309964385"/>
    <n v="13"/>
    <x v="16"/>
    <n v="359"/>
    <x v="0"/>
    <x v="0"/>
    <n v="82"/>
    <n v="25"/>
    <n v="2050"/>
    <x v="1"/>
  </r>
  <r>
    <n v="372"/>
    <x v="8"/>
    <x v="4"/>
    <x v="371"/>
    <n v="278031112"/>
    <n v="13"/>
    <x v="16"/>
    <n v="521"/>
    <x v="1"/>
    <x v="1"/>
    <n v="35"/>
    <n v="30"/>
    <n v="1050"/>
    <x v="0"/>
  </r>
  <r>
    <n v="373"/>
    <x v="12"/>
    <x v="4"/>
    <x v="372"/>
    <n v="2950099975"/>
    <n v="13"/>
    <x v="16"/>
    <n v="359"/>
    <x v="0"/>
    <x v="0"/>
    <n v="46"/>
    <n v="25"/>
    <n v="1150"/>
    <x v="2"/>
  </r>
  <r>
    <n v="374"/>
    <x v="12"/>
    <x v="4"/>
    <x v="373"/>
    <n v="2950099975"/>
    <n v="13"/>
    <x v="16"/>
    <n v="359"/>
    <x v="0"/>
    <x v="0"/>
    <n v="71"/>
    <n v="25"/>
    <n v="1775"/>
    <x v="2"/>
  </r>
  <r>
    <n v="375"/>
    <x v="12"/>
    <x v="4"/>
    <x v="374"/>
    <n v="2950099975"/>
    <n v="34"/>
    <x v="17"/>
    <n v="359"/>
    <x v="0"/>
    <x v="0"/>
    <n v="79"/>
    <n v="25"/>
    <n v="1975"/>
    <x v="2"/>
  </r>
  <r>
    <n v="376"/>
    <x v="12"/>
    <x v="4"/>
    <x v="375"/>
    <n v="2950099975"/>
    <n v="34"/>
    <x v="17"/>
    <n v="359"/>
    <x v="0"/>
    <x v="0"/>
    <n v="82"/>
    <n v="25"/>
    <n v="2050"/>
    <x v="2"/>
  </r>
  <r>
    <n v="377"/>
    <x v="12"/>
    <x v="4"/>
    <x v="376"/>
    <n v="2950099975"/>
    <n v="34"/>
    <x v="17"/>
    <n v="359"/>
    <x v="0"/>
    <x v="0"/>
    <n v="44"/>
    <n v="25"/>
    <n v="1100"/>
    <x v="2"/>
  </r>
  <r>
    <n v="378"/>
    <x v="12"/>
    <x v="4"/>
    <x v="377"/>
    <n v="2950099975"/>
    <n v="34"/>
    <x v="17"/>
    <n v="359"/>
    <x v="0"/>
    <x v="0"/>
    <n v="21"/>
    <n v="25"/>
    <n v="525"/>
    <x v="2"/>
  </r>
  <r>
    <n v="379"/>
    <x v="7"/>
    <x v="4"/>
    <x v="378"/>
    <n v="2177541098"/>
    <n v="34"/>
    <x v="17"/>
    <n v="896"/>
    <x v="5"/>
    <x v="0"/>
    <n v="93"/>
    <n v="15"/>
    <n v="1395"/>
    <x v="1"/>
  </r>
  <r>
    <n v="380"/>
    <x v="7"/>
    <x v="4"/>
    <x v="379"/>
    <n v="8306821129"/>
    <n v="34"/>
    <x v="17"/>
    <n v="195"/>
    <x v="4"/>
    <x v="0"/>
    <n v="27"/>
    <n v="60"/>
    <n v="1620"/>
    <x v="1"/>
  </r>
  <r>
    <n v="381"/>
    <x v="7"/>
    <x v="4"/>
    <x v="380"/>
    <n v="2177541098"/>
    <n v="34"/>
    <x v="17"/>
    <n v="896"/>
    <x v="5"/>
    <x v="0"/>
    <n v="47"/>
    <n v="15"/>
    <n v="705"/>
    <x v="1"/>
  </r>
  <r>
    <n v="382"/>
    <x v="7"/>
    <x v="4"/>
    <x v="381"/>
    <n v="8306821129"/>
    <n v="34"/>
    <x v="17"/>
    <n v="195"/>
    <x v="4"/>
    <x v="0"/>
    <n v="17"/>
    <n v="60"/>
    <n v="1020"/>
    <x v="1"/>
  </r>
  <r>
    <n v="383"/>
    <x v="7"/>
    <x v="4"/>
    <x v="382"/>
    <n v="2177541098"/>
    <n v="34"/>
    <x v="17"/>
    <n v="896"/>
    <x v="5"/>
    <x v="0"/>
    <n v="66"/>
    <n v="15"/>
    <n v="990"/>
    <x v="1"/>
  </r>
  <r>
    <n v="384"/>
    <x v="7"/>
    <x v="4"/>
    <x v="383"/>
    <n v="8306821129"/>
    <n v="34"/>
    <x v="17"/>
    <n v="195"/>
    <x v="4"/>
    <x v="0"/>
    <n v="41"/>
    <n v="60"/>
    <n v="2460"/>
    <x v="1"/>
  </r>
  <r>
    <n v="385"/>
    <x v="7"/>
    <x v="4"/>
    <x v="384"/>
    <n v="2177541098"/>
    <n v="34"/>
    <x v="17"/>
    <n v="896"/>
    <x v="5"/>
    <x v="0"/>
    <n v="15"/>
    <n v="15"/>
    <n v="225"/>
    <x v="1"/>
  </r>
  <r>
    <n v="386"/>
    <x v="7"/>
    <x v="4"/>
    <x v="385"/>
    <n v="8306821129"/>
    <n v="34"/>
    <x v="17"/>
    <n v="195"/>
    <x v="4"/>
    <x v="0"/>
    <n v="84"/>
    <n v="60"/>
    <n v="5040"/>
    <x v="1"/>
  </r>
  <r>
    <n v="387"/>
    <x v="7"/>
    <x v="4"/>
    <x v="386"/>
    <n v="2177541098"/>
    <n v="34"/>
    <x v="17"/>
    <n v="896"/>
    <x v="5"/>
    <x v="0"/>
    <n v="58"/>
    <n v="15"/>
    <n v="870"/>
    <x v="1"/>
  </r>
  <r>
    <n v="388"/>
    <x v="7"/>
    <x v="4"/>
    <x v="387"/>
    <n v="8306821129"/>
    <n v="34"/>
    <x v="17"/>
    <n v="195"/>
    <x v="4"/>
    <x v="0"/>
    <n v="61"/>
    <n v="60"/>
    <n v="3660"/>
    <x v="1"/>
  </r>
  <r>
    <n v="389"/>
    <x v="7"/>
    <x v="4"/>
    <x v="388"/>
    <n v="2177541098"/>
    <n v="34"/>
    <x v="17"/>
    <n v="896"/>
    <x v="5"/>
    <x v="0"/>
    <n v="21"/>
    <n v="15"/>
    <n v="315"/>
    <x v="1"/>
  </r>
  <r>
    <n v="390"/>
    <x v="7"/>
    <x v="4"/>
    <x v="389"/>
    <n v="8306821129"/>
    <n v="34"/>
    <x v="17"/>
    <n v="195"/>
    <x v="4"/>
    <x v="0"/>
    <n v="66"/>
    <n v="60"/>
    <n v="3960"/>
    <x v="1"/>
  </r>
  <r>
    <n v="391"/>
    <x v="8"/>
    <x v="4"/>
    <x v="390"/>
    <n v="1043865388"/>
    <n v="34"/>
    <x v="17"/>
    <n v="521"/>
    <x v="1"/>
    <x v="1"/>
    <n v="39"/>
    <n v="30"/>
    <n v="1170"/>
    <x v="1"/>
  </r>
  <r>
    <n v="392"/>
    <x v="8"/>
    <x v="4"/>
    <x v="391"/>
    <n v="1043865388"/>
    <n v="24"/>
    <x v="18"/>
    <n v="521"/>
    <x v="1"/>
    <x v="1"/>
    <n v="73"/>
    <n v="30"/>
    <n v="2190"/>
    <x v="1"/>
  </r>
  <r>
    <n v="393"/>
    <x v="8"/>
    <x v="4"/>
    <x v="392"/>
    <n v="1043865388"/>
    <n v="24"/>
    <x v="18"/>
    <n v="521"/>
    <x v="1"/>
    <x v="1"/>
    <n v="57"/>
    <n v="30"/>
    <n v="1710"/>
    <x v="1"/>
  </r>
  <r>
    <n v="394"/>
    <x v="8"/>
    <x v="4"/>
    <x v="393"/>
    <n v="1043865388"/>
    <n v="24"/>
    <x v="18"/>
    <n v="521"/>
    <x v="1"/>
    <x v="1"/>
    <n v="84"/>
    <n v="30"/>
    <n v="2520"/>
    <x v="1"/>
  </r>
  <r>
    <n v="395"/>
    <x v="8"/>
    <x v="4"/>
    <x v="394"/>
    <n v="1043865388"/>
    <n v="24"/>
    <x v="18"/>
    <n v="521"/>
    <x v="1"/>
    <x v="1"/>
    <n v="93"/>
    <n v="30"/>
    <n v="2790"/>
    <x v="1"/>
  </r>
  <r>
    <n v="396"/>
    <x v="8"/>
    <x v="4"/>
    <x v="395"/>
    <n v="1043865388"/>
    <n v="24"/>
    <x v="18"/>
    <n v="521"/>
    <x v="1"/>
    <x v="1"/>
    <n v="86"/>
    <n v="30"/>
    <n v="2580"/>
    <x v="1"/>
  </r>
  <r>
    <n v="397"/>
    <x v="15"/>
    <x v="4"/>
    <x v="396"/>
    <n v="5837837052"/>
    <n v="24"/>
    <x v="18"/>
    <n v="534"/>
    <x v="0"/>
    <x v="0"/>
    <n v="48"/>
    <n v="25"/>
    <n v="1200"/>
    <x v="0"/>
  </r>
  <r>
    <n v="398"/>
    <x v="15"/>
    <x v="4"/>
    <x v="397"/>
    <n v="5837837052"/>
    <n v="24"/>
    <x v="18"/>
    <n v="534"/>
    <x v="0"/>
    <x v="0"/>
    <n v="22"/>
    <n v="25"/>
    <n v="550"/>
    <x v="0"/>
  </r>
  <r>
    <n v="399"/>
    <x v="15"/>
    <x v="4"/>
    <x v="398"/>
    <n v="5837837052"/>
    <n v="24"/>
    <x v="18"/>
    <n v="534"/>
    <x v="0"/>
    <x v="0"/>
    <n v="86"/>
    <n v="25"/>
    <n v="2150"/>
    <x v="0"/>
  </r>
  <r>
    <n v="400"/>
    <x v="15"/>
    <x v="4"/>
    <x v="399"/>
    <n v="5837837052"/>
    <n v="24"/>
    <x v="18"/>
    <n v="534"/>
    <x v="0"/>
    <x v="0"/>
    <n v="83"/>
    <n v="25"/>
    <n v="2075"/>
    <x v="0"/>
  </r>
  <r>
    <n v="401"/>
    <x v="15"/>
    <x v="4"/>
    <x v="400"/>
    <n v="5837837052"/>
    <n v="24"/>
    <x v="18"/>
    <n v="534"/>
    <x v="0"/>
    <x v="0"/>
    <n v="70"/>
    <n v="25"/>
    <n v="1750"/>
    <x v="0"/>
  </r>
  <r>
    <n v="402"/>
    <x v="15"/>
    <x v="4"/>
    <x v="401"/>
    <n v="5837837052"/>
    <n v="24"/>
    <x v="18"/>
    <n v="534"/>
    <x v="0"/>
    <x v="0"/>
    <n v="72"/>
    <n v="25"/>
    <n v="1800"/>
    <x v="0"/>
  </r>
  <r>
    <n v="403"/>
    <x v="16"/>
    <x v="1"/>
    <x v="402"/>
    <n v="8525878866"/>
    <n v="18"/>
    <x v="19"/>
    <n v="702"/>
    <x v="6"/>
    <x v="0"/>
    <n v="28"/>
    <n v="20"/>
    <n v="560"/>
    <x v="2"/>
  </r>
  <r>
    <n v="404"/>
    <x v="17"/>
    <x v="1"/>
    <x v="403"/>
    <n v="4802672128"/>
    <n v="18"/>
    <x v="19"/>
    <n v="240"/>
    <x v="0"/>
    <x v="0"/>
    <n v="98"/>
    <n v="45"/>
    <n v="4410"/>
    <x v="0"/>
  </r>
  <r>
    <n v="405"/>
    <x v="17"/>
    <x v="1"/>
    <x v="404"/>
    <n v="8243172136"/>
    <n v="18"/>
    <x v="19"/>
    <n v="704"/>
    <x v="4"/>
    <x v="0"/>
    <n v="43"/>
    <n v="60"/>
    <n v="2580"/>
    <x v="0"/>
  </r>
  <r>
    <n v="406"/>
    <x v="17"/>
    <x v="1"/>
    <x v="405"/>
    <n v="4802672128"/>
    <n v="18"/>
    <x v="19"/>
    <n v="240"/>
    <x v="0"/>
    <x v="0"/>
    <n v="77"/>
    <n v="45"/>
    <n v="3465"/>
    <x v="0"/>
  </r>
  <r>
    <n v="407"/>
    <x v="17"/>
    <x v="1"/>
    <x v="406"/>
    <n v="8243172136"/>
    <n v="18"/>
    <x v="19"/>
    <n v="704"/>
    <x v="4"/>
    <x v="0"/>
    <n v="76"/>
    <n v="60"/>
    <n v="4560"/>
    <x v="0"/>
  </r>
  <r>
    <n v="408"/>
    <x v="17"/>
    <x v="1"/>
    <x v="407"/>
    <n v="4802672128"/>
    <n v="18"/>
    <x v="19"/>
    <n v="240"/>
    <x v="0"/>
    <x v="0"/>
    <n v="92"/>
    <n v="45"/>
    <n v="4140"/>
    <x v="0"/>
  </r>
  <r>
    <n v="409"/>
    <x v="17"/>
    <x v="1"/>
    <x v="408"/>
    <n v="8243172136"/>
    <n v="18"/>
    <x v="19"/>
    <n v="704"/>
    <x v="4"/>
    <x v="0"/>
    <n v="20"/>
    <n v="60"/>
    <n v="1200"/>
    <x v="0"/>
  </r>
  <r>
    <n v="410"/>
    <x v="17"/>
    <x v="1"/>
    <x v="409"/>
    <n v="4802672128"/>
    <n v="18"/>
    <x v="19"/>
    <n v="240"/>
    <x v="0"/>
    <x v="0"/>
    <n v="82"/>
    <n v="45"/>
    <n v="3690"/>
    <x v="0"/>
  </r>
  <r>
    <n v="411"/>
    <x v="17"/>
    <x v="1"/>
    <x v="410"/>
    <n v="8243172136"/>
    <n v="18"/>
    <x v="19"/>
    <n v="704"/>
    <x v="4"/>
    <x v="0"/>
    <n v="77"/>
    <n v="60"/>
    <n v="4620"/>
    <x v="0"/>
  </r>
  <r>
    <n v="412"/>
    <x v="17"/>
    <x v="1"/>
    <x v="411"/>
    <n v="4802672128"/>
    <n v="18"/>
    <x v="19"/>
    <n v="240"/>
    <x v="0"/>
    <x v="0"/>
    <n v="30"/>
    <n v="45"/>
    <n v="1350"/>
    <x v="0"/>
  </r>
  <r>
    <n v="413"/>
    <x v="17"/>
    <x v="1"/>
    <x v="412"/>
    <n v="8243172136"/>
    <n v="18"/>
    <x v="19"/>
    <n v="704"/>
    <x v="4"/>
    <x v="0"/>
    <n v="57"/>
    <n v="60"/>
    <n v="3420"/>
    <x v="0"/>
  </r>
  <r>
    <n v="414"/>
    <x v="17"/>
    <x v="1"/>
    <x v="413"/>
    <n v="4802672128"/>
    <n v="18"/>
    <x v="19"/>
    <n v="240"/>
    <x v="0"/>
    <x v="0"/>
    <n v="96"/>
    <n v="45"/>
    <n v="4320"/>
    <x v="0"/>
  </r>
  <r>
    <n v="415"/>
    <x v="17"/>
    <x v="1"/>
    <x v="414"/>
    <n v="8243172136"/>
    <n v="18"/>
    <x v="19"/>
    <n v="704"/>
    <x v="4"/>
    <x v="0"/>
    <n v="68"/>
    <n v="60"/>
    <n v="4080"/>
    <x v="0"/>
  </r>
  <r>
    <n v="416"/>
    <x v="18"/>
    <x v="1"/>
    <x v="415"/>
    <n v="5169753720"/>
    <n v="35"/>
    <x v="20"/>
    <n v="909"/>
    <x v="2"/>
    <x v="0"/>
    <n v="16"/>
    <n v="50"/>
    <n v="800"/>
    <x v="1"/>
  </r>
  <r>
    <n v="417"/>
    <x v="18"/>
    <x v="1"/>
    <x v="416"/>
    <n v="5169753720"/>
    <n v="35"/>
    <x v="20"/>
    <n v="909"/>
    <x v="2"/>
    <x v="0"/>
    <n v="55"/>
    <n v="50"/>
    <n v="2750"/>
    <x v="1"/>
  </r>
  <r>
    <n v="418"/>
    <x v="18"/>
    <x v="1"/>
    <x v="417"/>
    <n v="5169753720"/>
    <n v="35"/>
    <x v="20"/>
    <n v="909"/>
    <x v="2"/>
    <x v="0"/>
    <n v="61"/>
    <n v="50"/>
    <n v="3050"/>
    <x v="1"/>
  </r>
  <r>
    <n v="419"/>
    <x v="18"/>
    <x v="1"/>
    <x v="418"/>
    <n v="5169753720"/>
    <n v="35"/>
    <x v="20"/>
    <n v="909"/>
    <x v="2"/>
    <x v="0"/>
    <n v="11"/>
    <n v="50"/>
    <n v="550"/>
    <x v="1"/>
  </r>
  <r>
    <n v="420"/>
    <x v="18"/>
    <x v="1"/>
    <x v="419"/>
    <n v="5169753720"/>
    <n v="35"/>
    <x v="20"/>
    <n v="909"/>
    <x v="2"/>
    <x v="0"/>
    <n v="60"/>
    <n v="50"/>
    <n v="3000"/>
    <x v="1"/>
  </r>
  <r>
    <n v="421"/>
    <x v="18"/>
    <x v="1"/>
    <x v="420"/>
    <n v="5169753720"/>
    <n v="35"/>
    <x v="20"/>
    <n v="909"/>
    <x v="2"/>
    <x v="0"/>
    <n v="28"/>
    <n v="50"/>
    <n v="1400"/>
    <x v="1"/>
  </r>
  <r>
    <n v="422"/>
    <x v="7"/>
    <x v="4"/>
    <x v="421"/>
    <n v="9942718595"/>
    <n v="35"/>
    <x v="20"/>
    <n v="240"/>
    <x v="0"/>
    <x v="0"/>
    <n v="70"/>
    <n v="45"/>
    <n v="3150"/>
    <x v="0"/>
  </r>
  <r>
    <n v="423"/>
    <x v="7"/>
    <x v="4"/>
    <x v="422"/>
    <n v="532970443"/>
    <n v="35"/>
    <x v="20"/>
    <n v="195"/>
    <x v="4"/>
    <x v="0"/>
    <n v="88"/>
    <n v="60"/>
    <n v="5280"/>
    <x v="1"/>
  </r>
  <r>
    <n v="424"/>
    <x v="7"/>
    <x v="4"/>
    <x v="423"/>
    <n v="9942718595"/>
    <n v="35"/>
    <x v="20"/>
    <n v="240"/>
    <x v="0"/>
    <x v="0"/>
    <n v="42"/>
    <n v="45"/>
    <n v="1890"/>
    <x v="0"/>
  </r>
  <r>
    <n v="425"/>
    <x v="7"/>
    <x v="4"/>
    <x v="424"/>
    <n v="532970443"/>
    <n v="35"/>
    <x v="20"/>
    <n v="195"/>
    <x v="4"/>
    <x v="0"/>
    <n v="94"/>
    <n v="60"/>
    <n v="5640"/>
    <x v="1"/>
  </r>
  <r>
    <n v="426"/>
    <x v="7"/>
    <x v="4"/>
    <x v="425"/>
    <n v="9942718595"/>
    <n v="35"/>
    <x v="20"/>
    <n v="240"/>
    <x v="0"/>
    <x v="0"/>
    <n v="98"/>
    <n v="45"/>
    <n v="4410"/>
    <x v="0"/>
  </r>
  <r>
    <n v="427"/>
    <x v="7"/>
    <x v="4"/>
    <x v="426"/>
    <n v="532970443"/>
    <n v="20"/>
    <x v="21"/>
    <n v="195"/>
    <x v="4"/>
    <x v="0"/>
    <n v="56"/>
    <n v="60"/>
    <n v="3360"/>
    <x v="1"/>
  </r>
  <r>
    <n v="428"/>
    <x v="7"/>
    <x v="4"/>
    <x v="427"/>
    <n v="9942718595"/>
    <n v="20"/>
    <x v="21"/>
    <n v="240"/>
    <x v="0"/>
    <x v="0"/>
    <n v="15"/>
    <n v="45"/>
    <n v="675"/>
    <x v="0"/>
  </r>
  <r>
    <n v="429"/>
    <x v="7"/>
    <x v="4"/>
    <x v="428"/>
    <n v="532970443"/>
    <n v="20"/>
    <x v="21"/>
    <n v="195"/>
    <x v="4"/>
    <x v="0"/>
    <n v="38"/>
    <n v="60"/>
    <n v="2280"/>
    <x v="1"/>
  </r>
  <r>
    <n v="430"/>
    <x v="7"/>
    <x v="4"/>
    <x v="429"/>
    <n v="9942718595"/>
    <n v="20"/>
    <x v="21"/>
    <n v="240"/>
    <x v="0"/>
    <x v="0"/>
    <n v="19"/>
    <n v="45"/>
    <n v="855"/>
    <x v="0"/>
  </r>
  <r>
    <n v="431"/>
    <x v="7"/>
    <x v="4"/>
    <x v="430"/>
    <n v="532970443"/>
    <n v="20"/>
    <x v="21"/>
    <n v="195"/>
    <x v="4"/>
    <x v="0"/>
    <n v="52"/>
    <n v="60"/>
    <n v="3120"/>
    <x v="1"/>
  </r>
  <r>
    <n v="432"/>
    <x v="7"/>
    <x v="4"/>
    <x v="431"/>
    <n v="9942718595"/>
    <n v="20"/>
    <x v="21"/>
    <n v="240"/>
    <x v="0"/>
    <x v="0"/>
    <n v="49"/>
    <n v="45"/>
    <n v="2205"/>
    <x v="0"/>
  </r>
  <r>
    <n v="433"/>
    <x v="7"/>
    <x v="4"/>
    <x v="432"/>
    <n v="532970443"/>
    <n v="20"/>
    <x v="21"/>
    <n v="195"/>
    <x v="4"/>
    <x v="0"/>
    <n v="12"/>
    <n v="60"/>
    <n v="720"/>
    <x v="1"/>
  </r>
  <r>
    <n v="434"/>
    <x v="8"/>
    <x v="4"/>
    <x v="433"/>
    <n v="3665624202"/>
    <n v="20"/>
    <x v="21"/>
    <n v="353"/>
    <x v="1"/>
    <x v="1"/>
    <n v="19"/>
    <n v="40"/>
    <n v="760"/>
    <x v="2"/>
  </r>
  <r>
    <n v="435"/>
    <x v="8"/>
    <x v="4"/>
    <x v="434"/>
    <n v="8247971380"/>
    <n v="20"/>
    <x v="21"/>
    <n v="454"/>
    <x v="5"/>
    <x v="0"/>
    <n v="49"/>
    <n v="15"/>
    <n v="735"/>
    <x v="0"/>
  </r>
  <r>
    <n v="436"/>
    <x v="8"/>
    <x v="4"/>
    <x v="435"/>
    <n v="4774867535"/>
    <n v="20"/>
    <x v="21"/>
    <n v="359"/>
    <x v="0"/>
    <x v="0"/>
    <n v="58"/>
    <n v="25"/>
    <n v="1450"/>
    <x v="1"/>
  </r>
  <r>
    <n v="437"/>
    <x v="8"/>
    <x v="4"/>
    <x v="436"/>
    <n v="5310734203"/>
    <n v="20"/>
    <x v="21"/>
    <n v="909"/>
    <x v="2"/>
    <x v="0"/>
    <n v="24"/>
    <n v="50"/>
    <n v="1200"/>
    <x v="2"/>
  </r>
  <r>
    <n v="438"/>
    <x v="8"/>
    <x v="4"/>
    <x v="437"/>
    <n v="3665624202"/>
    <n v="20"/>
    <x v="21"/>
    <n v="353"/>
    <x v="1"/>
    <x v="1"/>
    <n v="71"/>
    <n v="40"/>
    <n v="2840"/>
    <x v="2"/>
  </r>
  <r>
    <n v="439"/>
    <x v="8"/>
    <x v="4"/>
    <x v="438"/>
    <n v="8247971380"/>
    <n v="20"/>
    <x v="21"/>
    <n v="454"/>
    <x v="5"/>
    <x v="0"/>
    <n v="93"/>
    <n v="15"/>
    <n v="1395"/>
    <x v="0"/>
  </r>
  <r>
    <n v="440"/>
    <x v="8"/>
    <x v="4"/>
    <x v="439"/>
    <n v="4774867535"/>
    <n v="20"/>
    <x v="21"/>
    <n v="359"/>
    <x v="0"/>
    <x v="0"/>
    <n v="69"/>
    <n v="25"/>
    <n v="1725"/>
    <x v="1"/>
  </r>
  <r>
    <n v="441"/>
    <x v="8"/>
    <x v="4"/>
    <x v="440"/>
    <n v="5310734203"/>
    <n v="20"/>
    <x v="21"/>
    <n v="909"/>
    <x v="2"/>
    <x v="0"/>
    <n v="57"/>
    <n v="50"/>
    <n v="2850"/>
    <x v="2"/>
  </r>
  <r>
    <n v="442"/>
    <x v="8"/>
    <x v="4"/>
    <x v="441"/>
    <n v="3665624202"/>
    <n v="20"/>
    <x v="21"/>
    <n v="353"/>
    <x v="1"/>
    <x v="1"/>
    <n v="48"/>
    <n v="40"/>
    <n v="1920"/>
    <x v="2"/>
  </r>
  <r>
    <n v="443"/>
    <x v="8"/>
    <x v="4"/>
    <x v="442"/>
    <n v="8247971380"/>
    <n v="20"/>
    <x v="21"/>
    <n v="454"/>
    <x v="5"/>
    <x v="0"/>
    <n v="12"/>
    <n v="15"/>
    <n v="180"/>
    <x v="0"/>
  </r>
  <r>
    <n v="444"/>
    <x v="8"/>
    <x v="4"/>
    <x v="443"/>
    <n v="4774867535"/>
    <n v="20"/>
    <x v="21"/>
    <n v="359"/>
    <x v="0"/>
    <x v="0"/>
    <n v="38"/>
    <n v="25"/>
    <n v="950"/>
    <x v="1"/>
  </r>
  <r>
    <n v="445"/>
    <x v="8"/>
    <x v="4"/>
    <x v="444"/>
    <n v="5310734203"/>
    <n v="20"/>
    <x v="21"/>
    <n v="909"/>
    <x v="2"/>
    <x v="0"/>
    <n v="83"/>
    <n v="50"/>
    <n v="4150"/>
    <x v="2"/>
  </r>
  <r>
    <n v="446"/>
    <x v="8"/>
    <x v="4"/>
    <x v="445"/>
    <n v="3665624202"/>
    <n v="20"/>
    <x v="21"/>
    <n v="353"/>
    <x v="1"/>
    <x v="1"/>
    <n v="34"/>
    <n v="40"/>
    <n v="1360"/>
    <x v="2"/>
  </r>
  <r>
    <n v="447"/>
    <x v="8"/>
    <x v="4"/>
    <x v="446"/>
    <n v="8247971380"/>
    <n v="20"/>
    <x v="21"/>
    <n v="454"/>
    <x v="5"/>
    <x v="0"/>
    <n v="64"/>
    <n v="15"/>
    <n v="960"/>
    <x v="0"/>
  </r>
  <r>
    <n v="448"/>
    <x v="8"/>
    <x v="4"/>
    <x v="447"/>
    <n v="4774867535"/>
    <n v="20"/>
    <x v="21"/>
    <n v="359"/>
    <x v="0"/>
    <x v="0"/>
    <n v="36"/>
    <n v="25"/>
    <n v="900"/>
    <x v="1"/>
  </r>
  <r>
    <n v="449"/>
    <x v="8"/>
    <x v="4"/>
    <x v="448"/>
    <n v="5310734203"/>
    <n v="20"/>
    <x v="21"/>
    <n v="909"/>
    <x v="2"/>
    <x v="0"/>
    <n v="21"/>
    <n v="50"/>
    <n v="1050"/>
    <x v="2"/>
  </r>
  <r>
    <n v="450"/>
    <x v="8"/>
    <x v="4"/>
    <x v="449"/>
    <n v="3665624202"/>
    <n v="20"/>
    <x v="21"/>
    <n v="353"/>
    <x v="1"/>
    <x v="1"/>
    <n v="97"/>
    <n v="40"/>
    <n v="3880"/>
    <x v="2"/>
  </r>
  <r>
    <n v="451"/>
    <x v="8"/>
    <x v="4"/>
    <x v="450"/>
    <n v="8247971380"/>
    <n v="32"/>
    <x v="22"/>
    <n v="454"/>
    <x v="5"/>
    <x v="0"/>
    <n v="80"/>
    <n v="15"/>
    <n v="1200"/>
    <x v="0"/>
  </r>
  <r>
    <n v="452"/>
    <x v="8"/>
    <x v="4"/>
    <x v="451"/>
    <n v="4774867535"/>
    <n v="32"/>
    <x v="22"/>
    <n v="359"/>
    <x v="0"/>
    <x v="0"/>
    <n v="88"/>
    <n v="25"/>
    <n v="2200"/>
    <x v="1"/>
  </r>
  <r>
    <n v="453"/>
    <x v="8"/>
    <x v="4"/>
    <x v="452"/>
    <n v="5310734203"/>
    <n v="32"/>
    <x v="22"/>
    <n v="909"/>
    <x v="2"/>
    <x v="0"/>
    <n v="50"/>
    <n v="50"/>
    <n v="2500"/>
    <x v="2"/>
  </r>
  <r>
    <n v="454"/>
    <x v="8"/>
    <x v="4"/>
    <x v="453"/>
    <n v="3665624202"/>
    <n v="32"/>
    <x v="22"/>
    <n v="353"/>
    <x v="1"/>
    <x v="1"/>
    <n v="55"/>
    <n v="40"/>
    <n v="2200"/>
    <x v="2"/>
  </r>
  <r>
    <n v="455"/>
    <x v="8"/>
    <x v="4"/>
    <x v="454"/>
    <n v="8247971380"/>
    <n v="32"/>
    <x v="22"/>
    <n v="454"/>
    <x v="5"/>
    <x v="0"/>
    <n v="33"/>
    <n v="15"/>
    <n v="495"/>
    <x v="0"/>
  </r>
  <r>
    <n v="456"/>
    <x v="8"/>
    <x v="4"/>
    <x v="455"/>
    <n v="4774867535"/>
    <n v="32"/>
    <x v="22"/>
    <n v="359"/>
    <x v="0"/>
    <x v="0"/>
    <n v="51"/>
    <n v="25"/>
    <n v="1275"/>
    <x v="1"/>
  </r>
  <r>
    <n v="457"/>
    <x v="8"/>
    <x v="4"/>
    <x v="456"/>
    <n v="5310734203"/>
    <n v="32"/>
    <x v="22"/>
    <n v="909"/>
    <x v="2"/>
    <x v="0"/>
    <n v="47"/>
    <n v="50"/>
    <n v="2350"/>
    <x v="2"/>
  </r>
  <r>
    <n v="458"/>
    <x v="11"/>
    <x v="4"/>
    <x v="457"/>
    <n v="274199699"/>
    <n v="32"/>
    <x v="22"/>
    <n v="577"/>
    <x v="6"/>
    <x v="0"/>
    <n v="13"/>
    <n v="40"/>
    <n v="520"/>
    <x v="1"/>
  </r>
  <r>
    <n v="459"/>
    <x v="11"/>
    <x v="4"/>
    <x v="458"/>
    <n v="274199699"/>
    <n v="32"/>
    <x v="22"/>
    <n v="577"/>
    <x v="6"/>
    <x v="0"/>
    <n v="54"/>
    <n v="40"/>
    <n v="2160"/>
    <x v="1"/>
  </r>
  <r>
    <n v="460"/>
    <x v="11"/>
    <x v="4"/>
    <x v="459"/>
    <n v="274199699"/>
    <n v="32"/>
    <x v="22"/>
    <n v="577"/>
    <x v="6"/>
    <x v="0"/>
    <n v="63"/>
    <n v="40"/>
    <n v="2520"/>
    <x v="1"/>
  </r>
  <r>
    <n v="461"/>
    <x v="11"/>
    <x v="4"/>
    <x v="460"/>
    <n v="274199699"/>
    <n v="32"/>
    <x v="22"/>
    <n v="577"/>
    <x v="6"/>
    <x v="0"/>
    <n v="77"/>
    <n v="40"/>
    <n v="3080"/>
    <x v="1"/>
  </r>
  <r>
    <n v="462"/>
    <x v="11"/>
    <x v="4"/>
    <x v="461"/>
    <n v="274199699"/>
    <n v="32"/>
    <x v="22"/>
    <n v="577"/>
    <x v="6"/>
    <x v="0"/>
    <n v="37"/>
    <n v="40"/>
    <n v="1480"/>
    <x v="1"/>
  </r>
  <r>
    <n v="463"/>
    <x v="11"/>
    <x v="4"/>
    <x v="462"/>
    <n v="274199699"/>
    <n v="32"/>
    <x v="22"/>
    <n v="577"/>
    <x v="6"/>
    <x v="0"/>
    <n v="44"/>
    <n v="40"/>
    <n v="1760"/>
    <x v="1"/>
  </r>
  <r>
    <n v="464"/>
    <x v="10"/>
    <x v="4"/>
    <x v="463"/>
    <n v="6049818802"/>
    <n v="32"/>
    <x v="22"/>
    <n v="548"/>
    <x v="2"/>
    <x v="0"/>
    <n v="92"/>
    <n v="90"/>
    <n v="8280"/>
    <x v="0"/>
  </r>
  <r>
    <n v="465"/>
    <x v="10"/>
    <x v="4"/>
    <x v="464"/>
    <n v="6049818802"/>
    <n v="32"/>
    <x v="22"/>
    <n v="548"/>
    <x v="2"/>
    <x v="0"/>
    <n v="30"/>
    <n v="90"/>
    <n v="2700"/>
    <x v="0"/>
  </r>
  <r>
    <n v="466"/>
    <x v="10"/>
    <x v="4"/>
    <x v="465"/>
    <n v="6049818802"/>
    <n v="32"/>
    <x v="22"/>
    <n v="548"/>
    <x v="2"/>
    <x v="0"/>
    <n v="69"/>
    <n v="90"/>
    <n v="6210"/>
    <x v="0"/>
  </r>
  <r>
    <n v="467"/>
    <x v="10"/>
    <x v="4"/>
    <x v="466"/>
    <n v="6049818802"/>
    <n v="32"/>
    <x v="22"/>
    <n v="548"/>
    <x v="2"/>
    <x v="0"/>
    <n v="24"/>
    <n v="90"/>
    <n v="2160"/>
    <x v="0"/>
  </r>
  <r>
    <n v="468"/>
    <x v="10"/>
    <x v="4"/>
    <x v="467"/>
    <n v="6049818802"/>
    <n v="20"/>
    <x v="21"/>
    <n v="548"/>
    <x v="2"/>
    <x v="0"/>
    <n v="31"/>
    <n v="90"/>
    <n v="2790"/>
    <x v="0"/>
  </r>
  <r>
    <n v="469"/>
    <x v="10"/>
    <x v="4"/>
    <x v="468"/>
    <n v="6049818802"/>
    <n v="20"/>
    <x v="21"/>
    <n v="548"/>
    <x v="2"/>
    <x v="0"/>
    <n v="34"/>
    <n v="90"/>
    <n v="3060"/>
    <x v="0"/>
  </r>
  <r>
    <n v="470"/>
    <x v="15"/>
    <x v="4"/>
    <x v="469"/>
    <n v="9552592145"/>
    <n v="20"/>
    <x v="21"/>
    <n v="896"/>
    <x v="5"/>
    <x v="0"/>
    <n v="26"/>
    <n v="15"/>
    <n v="390"/>
    <x v="1"/>
  </r>
  <r>
    <n v="471"/>
    <x v="15"/>
    <x v="4"/>
    <x v="470"/>
    <n v="9552592145"/>
    <n v="20"/>
    <x v="21"/>
    <n v="896"/>
    <x v="5"/>
    <x v="0"/>
    <n v="86"/>
    <n v="15"/>
    <n v="1290"/>
    <x v="1"/>
  </r>
  <r>
    <n v="472"/>
    <x v="15"/>
    <x v="4"/>
    <x v="471"/>
    <n v="9552592145"/>
    <n v="20"/>
    <x v="21"/>
    <n v="896"/>
    <x v="5"/>
    <x v="0"/>
    <n v="93"/>
    <n v="15"/>
    <n v="1395"/>
    <x v="1"/>
  </r>
  <r>
    <n v="473"/>
    <x v="15"/>
    <x v="4"/>
    <x v="472"/>
    <n v="9552592145"/>
    <n v="20"/>
    <x v="21"/>
    <n v="896"/>
    <x v="5"/>
    <x v="0"/>
    <n v="40"/>
    <n v="15"/>
    <n v="600"/>
    <x v="1"/>
  </r>
  <r>
    <n v="474"/>
    <x v="15"/>
    <x v="4"/>
    <x v="473"/>
    <n v="9552592145"/>
    <n v="20"/>
    <x v="21"/>
    <n v="896"/>
    <x v="5"/>
    <x v="0"/>
    <n v="34"/>
    <n v="15"/>
    <n v="510"/>
    <x v="1"/>
  </r>
  <r>
    <n v="475"/>
    <x v="15"/>
    <x v="4"/>
    <x v="474"/>
    <n v="9552592145"/>
    <n v="20"/>
    <x v="21"/>
    <n v="896"/>
    <x v="5"/>
    <x v="0"/>
    <n v="18"/>
    <n v="15"/>
    <n v="270"/>
    <x v="1"/>
  </r>
  <r>
    <n v="476"/>
    <x v="12"/>
    <x v="4"/>
    <x v="475"/>
    <n v="3814457118"/>
    <n v="20"/>
    <x v="21"/>
    <n v="704"/>
    <x v="4"/>
    <x v="0"/>
    <n v="18"/>
    <n v="60"/>
    <n v="1080"/>
    <x v="2"/>
  </r>
  <r>
    <n v="477"/>
    <x v="12"/>
    <x v="4"/>
    <x v="476"/>
    <n v="6654060629"/>
    <n v="20"/>
    <x v="21"/>
    <n v="353"/>
    <x v="1"/>
    <x v="1"/>
    <n v="75"/>
    <n v="40"/>
    <n v="3000"/>
    <x v="0"/>
  </r>
  <r>
    <n v="478"/>
    <x v="12"/>
    <x v="4"/>
    <x v="477"/>
    <n v="3814457118"/>
    <n v="20"/>
    <x v="21"/>
    <n v="704"/>
    <x v="4"/>
    <x v="0"/>
    <n v="72"/>
    <n v="60"/>
    <n v="4320"/>
    <x v="2"/>
  </r>
  <r>
    <n v="479"/>
    <x v="12"/>
    <x v="4"/>
    <x v="478"/>
    <n v="6654060629"/>
    <n v="20"/>
    <x v="21"/>
    <n v="353"/>
    <x v="1"/>
    <x v="1"/>
    <n v="83"/>
    <n v="40"/>
    <n v="3320"/>
    <x v="0"/>
  </r>
  <r>
    <n v="480"/>
    <x v="12"/>
    <x v="4"/>
    <x v="479"/>
    <n v="3814457118"/>
    <n v="20"/>
    <x v="21"/>
    <n v="704"/>
    <x v="4"/>
    <x v="0"/>
    <n v="42"/>
    <n v="60"/>
    <n v="2520"/>
    <x v="2"/>
  </r>
  <r>
    <n v="481"/>
    <x v="12"/>
    <x v="4"/>
    <x v="480"/>
    <n v="6654060629"/>
    <n v="33"/>
    <x v="23"/>
    <n v="353"/>
    <x v="1"/>
    <x v="1"/>
    <n v="87"/>
    <n v="40"/>
    <n v="3480"/>
    <x v="0"/>
  </r>
  <r>
    <n v="482"/>
    <x v="12"/>
    <x v="4"/>
    <x v="481"/>
    <n v="3814457118"/>
    <n v="33"/>
    <x v="23"/>
    <n v="704"/>
    <x v="4"/>
    <x v="0"/>
    <n v="61"/>
    <n v="60"/>
    <n v="3660"/>
    <x v="2"/>
  </r>
  <r>
    <n v="483"/>
    <x v="12"/>
    <x v="4"/>
    <x v="482"/>
    <n v="6654060629"/>
    <n v="33"/>
    <x v="23"/>
    <n v="353"/>
    <x v="1"/>
    <x v="1"/>
    <n v="77"/>
    <n v="40"/>
    <n v="3080"/>
    <x v="0"/>
  </r>
  <r>
    <n v="484"/>
    <x v="12"/>
    <x v="4"/>
    <x v="483"/>
    <n v="3814457118"/>
    <n v="33"/>
    <x v="23"/>
    <n v="704"/>
    <x v="4"/>
    <x v="0"/>
    <n v="62"/>
    <n v="60"/>
    <n v="3720"/>
    <x v="2"/>
  </r>
  <r>
    <n v="485"/>
    <x v="12"/>
    <x v="4"/>
    <x v="484"/>
    <n v="6654060629"/>
    <n v="33"/>
    <x v="23"/>
    <n v="353"/>
    <x v="1"/>
    <x v="1"/>
    <n v="22"/>
    <n v="40"/>
    <n v="880"/>
    <x v="0"/>
  </r>
  <r>
    <n v="486"/>
    <x v="12"/>
    <x v="4"/>
    <x v="485"/>
    <n v="3814457118"/>
    <n v="33"/>
    <x v="23"/>
    <n v="704"/>
    <x v="4"/>
    <x v="0"/>
    <n v="64"/>
    <n v="60"/>
    <n v="3840"/>
    <x v="2"/>
  </r>
  <r>
    <n v="487"/>
    <x v="12"/>
    <x v="4"/>
    <x v="486"/>
    <n v="6654060629"/>
    <n v="33"/>
    <x v="23"/>
    <n v="353"/>
    <x v="1"/>
    <x v="1"/>
    <n v="68"/>
    <n v="40"/>
    <n v="2720"/>
    <x v="0"/>
  </r>
  <r>
    <n v="488"/>
    <x v="17"/>
    <x v="1"/>
    <x v="487"/>
    <n v="7979219034"/>
    <n v="33"/>
    <x v="23"/>
    <n v="521"/>
    <x v="1"/>
    <x v="1"/>
    <n v="35"/>
    <n v="30"/>
    <n v="1050"/>
    <x v="0"/>
  </r>
  <r>
    <n v="489"/>
    <x v="17"/>
    <x v="1"/>
    <x v="488"/>
    <n v="7979219034"/>
    <n v="33"/>
    <x v="23"/>
    <n v="521"/>
    <x v="1"/>
    <x v="1"/>
    <n v="79"/>
    <n v="30"/>
    <n v="2370"/>
    <x v="0"/>
  </r>
  <r>
    <n v="490"/>
    <x v="17"/>
    <x v="1"/>
    <x v="489"/>
    <n v="7979219034"/>
    <n v="33"/>
    <x v="23"/>
    <n v="521"/>
    <x v="1"/>
    <x v="1"/>
    <n v="10"/>
    <n v="30"/>
    <n v="300"/>
    <x v="0"/>
  </r>
  <r>
    <n v="491"/>
    <x v="17"/>
    <x v="1"/>
    <x v="490"/>
    <n v="7979219034"/>
    <n v="33"/>
    <x v="23"/>
    <n v="521"/>
    <x v="1"/>
    <x v="1"/>
    <n v="62"/>
    <n v="30"/>
    <n v="1860"/>
    <x v="0"/>
  </r>
  <r>
    <n v="492"/>
    <x v="17"/>
    <x v="1"/>
    <x v="491"/>
    <n v="7979219034"/>
    <n v="33"/>
    <x v="23"/>
    <n v="521"/>
    <x v="1"/>
    <x v="1"/>
    <n v="41"/>
    <n v="30"/>
    <n v="1230"/>
    <x v="0"/>
  </r>
  <r>
    <n v="493"/>
    <x v="17"/>
    <x v="1"/>
    <x v="492"/>
    <n v="7979219034"/>
    <n v="33"/>
    <x v="23"/>
    <n v="521"/>
    <x v="1"/>
    <x v="1"/>
    <n v="12"/>
    <n v="30"/>
    <n v="360"/>
    <x v="0"/>
  </r>
  <r>
    <n v="494"/>
    <x v="19"/>
    <x v="1"/>
    <x v="493"/>
    <n v="6846094274"/>
    <n v="33"/>
    <x v="23"/>
    <n v="454"/>
    <x v="5"/>
    <x v="0"/>
    <n v="81"/>
    <n v="15"/>
    <n v="1215"/>
    <x v="0"/>
  </r>
  <r>
    <n v="495"/>
    <x v="19"/>
    <x v="1"/>
    <x v="494"/>
    <n v="6846094274"/>
    <n v="33"/>
    <x v="23"/>
    <n v="454"/>
    <x v="5"/>
    <x v="0"/>
    <n v="83"/>
    <n v="15"/>
    <n v="1245"/>
    <x v="0"/>
  </r>
  <r>
    <n v="496"/>
    <x v="19"/>
    <x v="1"/>
    <x v="495"/>
    <n v="6846094274"/>
    <n v="33"/>
    <x v="23"/>
    <n v="454"/>
    <x v="5"/>
    <x v="0"/>
    <n v="88"/>
    <n v="15"/>
    <n v="1320"/>
    <x v="0"/>
  </r>
  <r>
    <n v="497"/>
    <x v="19"/>
    <x v="1"/>
    <x v="496"/>
    <n v="6846094274"/>
    <n v="25"/>
    <x v="24"/>
    <n v="454"/>
    <x v="5"/>
    <x v="0"/>
    <n v="91"/>
    <n v="15"/>
    <n v="1365"/>
    <x v="0"/>
  </r>
  <r>
    <n v="498"/>
    <x v="19"/>
    <x v="1"/>
    <x v="497"/>
    <n v="6846094274"/>
    <n v="25"/>
    <x v="24"/>
    <n v="454"/>
    <x v="5"/>
    <x v="0"/>
    <n v="78"/>
    <n v="15"/>
    <n v="1170"/>
    <x v="0"/>
  </r>
  <r>
    <n v="499"/>
    <x v="19"/>
    <x v="1"/>
    <x v="498"/>
    <n v="6846094274"/>
    <n v="25"/>
    <x v="24"/>
    <n v="454"/>
    <x v="5"/>
    <x v="0"/>
    <n v="60"/>
    <n v="15"/>
    <n v="900"/>
    <x v="0"/>
  </r>
  <r>
    <n v="500"/>
    <x v="20"/>
    <x v="1"/>
    <x v="499"/>
    <n v="4548490727"/>
    <n v="25"/>
    <x v="24"/>
    <n v="214"/>
    <x v="4"/>
    <x v="0"/>
    <n v="92"/>
    <n v="60"/>
    <n v="5520"/>
    <x v="1"/>
  </r>
  <r>
    <n v="501"/>
    <x v="20"/>
    <x v="1"/>
    <x v="500"/>
    <n v="6415992583"/>
    <n v="25"/>
    <x v="24"/>
    <n v="568"/>
    <x v="3"/>
    <x v="2"/>
    <n v="17"/>
    <n v="1"/>
    <n v="17"/>
    <x v="2"/>
  </r>
  <r>
    <n v="502"/>
    <x v="20"/>
    <x v="1"/>
    <x v="501"/>
    <n v="4548490727"/>
    <n v="25"/>
    <x v="24"/>
    <n v="214"/>
    <x v="4"/>
    <x v="0"/>
    <n v="92"/>
    <n v="60"/>
    <n v="5520"/>
    <x v="1"/>
  </r>
  <r>
    <n v="503"/>
    <x v="20"/>
    <x v="1"/>
    <x v="502"/>
    <n v="6415992583"/>
    <n v="25"/>
    <x v="24"/>
    <n v="568"/>
    <x v="3"/>
    <x v="2"/>
    <n v="73"/>
    <n v="1"/>
    <n v="73"/>
    <x v="2"/>
  </r>
  <r>
    <n v="504"/>
    <x v="20"/>
    <x v="1"/>
    <x v="503"/>
    <n v="4548490727"/>
    <n v="25"/>
    <x v="24"/>
    <n v="214"/>
    <x v="4"/>
    <x v="0"/>
    <n v="86"/>
    <n v="60"/>
    <n v="5160"/>
    <x v="1"/>
  </r>
  <r>
    <n v="505"/>
    <x v="20"/>
    <x v="1"/>
    <x v="504"/>
    <n v="6415992583"/>
    <n v="25"/>
    <x v="24"/>
    <n v="568"/>
    <x v="3"/>
    <x v="2"/>
    <n v="30"/>
    <n v="1"/>
    <n v="30"/>
    <x v="2"/>
  </r>
  <r>
    <n v="506"/>
    <x v="20"/>
    <x v="1"/>
    <x v="505"/>
    <n v="4548490727"/>
    <n v="25"/>
    <x v="24"/>
    <n v="214"/>
    <x v="4"/>
    <x v="0"/>
    <n v="52"/>
    <n v="60"/>
    <n v="3120"/>
    <x v="1"/>
  </r>
  <r>
    <n v="507"/>
    <x v="20"/>
    <x v="1"/>
    <x v="506"/>
    <n v="6415992583"/>
    <n v="25"/>
    <x v="24"/>
    <n v="568"/>
    <x v="3"/>
    <x v="2"/>
    <n v="98"/>
    <n v="1"/>
    <n v="98"/>
    <x v="2"/>
  </r>
  <r>
    <n v="508"/>
    <x v="20"/>
    <x v="1"/>
    <x v="507"/>
    <n v="4548490727"/>
    <n v="25"/>
    <x v="24"/>
    <n v="214"/>
    <x v="4"/>
    <x v="0"/>
    <n v="29"/>
    <n v="60"/>
    <n v="1740"/>
    <x v="1"/>
  </r>
  <r>
    <n v="509"/>
    <x v="20"/>
    <x v="1"/>
    <x v="508"/>
    <n v="6415992583"/>
    <n v="25"/>
    <x v="24"/>
    <n v="568"/>
    <x v="3"/>
    <x v="2"/>
    <n v="15"/>
    <n v="1"/>
    <n v="15"/>
    <x v="2"/>
  </r>
  <r>
    <n v="510"/>
    <x v="20"/>
    <x v="1"/>
    <x v="509"/>
    <n v="4548490727"/>
    <n v="25"/>
    <x v="24"/>
    <n v="214"/>
    <x v="4"/>
    <x v="0"/>
    <n v="74"/>
    <n v="60"/>
    <n v="4440"/>
    <x v="1"/>
  </r>
  <r>
    <n v="511"/>
    <x v="20"/>
    <x v="1"/>
    <x v="510"/>
    <n v="6415992583"/>
    <n v="25"/>
    <x v="24"/>
    <n v="568"/>
    <x v="3"/>
    <x v="2"/>
    <n v="80"/>
    <n v="1"/>
    <n v="80"/>
    <x v="2"/>
  </r>
  <r>
    <n v="512"/>
    <x v="17"/>
    <x v="1"/>
    <x v="511"/>
    <n v="9918132123"/>
    <n v="12"/>
    <x v="25"/>
    <n v="521"/>
    <x v="1"/>
    <x v="1"/>
    <n v="92"/>
    <n v="30"/>
    <n v="2760"/>
    <x v="1"/>
  </r>
  <r>
    <n v="513"/>
    <x v="17"/>
    <x v="1"/>
    <x v="512"/>
    <n v="8697454601"/>
    <n v="12"/>
    <x v="25"/>
    <n v="353"/>
    <x v="1"/>
    <x v="1"/>
    <n v="36"/>
    <n v="40"/>
    <n v="1440"/>
    <x v="0"/>
  </r>
  <r>
    <n v="514"/>
    <x v="17"/>
    <x v="6"/>
    <x v="513"/>
    <n v="6705755982"/>
    <n v="12"/>
    <x v="25"/>
    <n v="240"/>
    <x v="0"/>
    <x v="0"/>
    <n v="13"/>
    <n v="45"/>
    <n v="585"/>
    <x v="0"/>
  </r>
  <r>
    <n v="515"/>
    <x v="17"/>
    <x v="6"/>
    <x v="514"/>
    <n v="9918132123"/>
    <n v="12"/>
    <x v="25"/>
    <n v="521"/>
    <x v="1"/>
    <x v="1"/>
    <n v="46"/>
    <n v="30"/>
    <n v="1380"/>
    <x v="1"/>
  </r>
  <r>
    <n v="516"/>
    <x v="17"/>
    <x v="6"/>
    <x v="515"/>
    <n v="8697454601"/>
    <n v="12"/>
    <x v="25"/>
    <n v="353"/>
    <x v="1"/>
    <x v="1"/>
    <n v="72"/>
    <n v="40"/>
    <n v="2880"/>
    <x v="0"/>
  </r>
  <r>
    <n v="517"/>
    <x v="17"/>
    <x v="6"/>
    <x v="516"/>
    <n v="6705755982"/>
    <n v="12"/>
    <x v="25"/>
    <n v="240"/>
    <x v="0"/>
    <x v="0"/>
    <n v="74"/>
    <n v="45"/>
    <n v="3330"/>
    <x v="0"/>
  </r>
  <r>
    <n v="518"/>
    <x v="17"/>
    <x v="6"/>
    <x v="517"/>
    <n v="9918132123"/>
    <n v="12"/>
    <x v="25"/>
    <n v="521"/>
    <x v="1"/>
    <x v="1"/>
    <n v="39"/>
    <n v="30"/>
    <n v="1170"/>
    <x v="1"/>
  </r>
  <r>
    <n v="519"/>
    <x v="17"/>
    <x v="6"/>
    <x v="518"/>
    <n v="8697454601"/>
    <n v="12"/>
    <x v="25"/>
    <n v="353"/>
    <x v="1"/>
    <x v="1"/>
    <n v="80"/>
    <n v="40"/>
    <n v="3200"/>
    <x v="0"/>
  </r>
  <r>
    <n v="520"/>
    <x v="17"/>
    <x v="6"/>
    <x v="519"/>
    <n v="6705755982"/>
    <n v="12"/>
    <x v="25"/>
    <n v="240"/>
    <x v="0"/>
    <x v="0"/>
    <n v="80"/>
    <n v="45"/>
    <n v="3600"/>
    <x v="0"/>
  </r>
  <r>
    <n v="521"/>
    <x v="17"/>
    <x v="6"/>
    <x v="520"/>
    <n v="9918132123"/>
    <n v="12"/>
    <x v="25"/>
    <n v="521"/>
    <x v="1"/>
    <x v="1"/>
    <n v="51"/>
    <n v="30"/>
    <n v="1530"/>
    <x v="1"/>
  </r>
  <r>
    <n v="522"/>
    <x v="17"/>
    <x v="6"/>
    <x v="521"/>
    <n v="8697454601"/>
    <n v="12"/>
    <x v="25"/>
    <n v="353"/>
    <x v="1"/>
    <x v="1"/>
    <n v="48"/>
    <n v="40"/>
    <n v="1920"/>
    <x v="0"/>
  </r>
  <r>
    <n v="523"/>
    <x v="17"/>
    <x v="6"/>
    <x v="522"/>
    <n v="6705755982"/>
    <n v="12"/>
    <x v="25"/>
    <n v="240"/>
    <x v="0"/>
    <x v="0"/>
    <n v="56"/>
    <n v="45"/>
    <n v="2520"/>
    <x v="0"/>
  </r>
  <r>
    <n v="524"/>
    <x v="17"/>
    <x v="6"/>
    <x v="523"/>
    <n v="9918132123"/>
    <n v="12"/>
    <x v="25"/>
    <n v="521"/>
    <x v="1"/>
    <x v="1"/>
    <n v="34"/>
    <n v="30"/>
    <n v="1020"/>
    <x v="1"/>
  </r>
  <r>
    <n v="525"/>
    <x v="17"/>
    <x v="6"/>
    <x v="524"/>
    <n v="8697454601"/>
    <n v="12"/>
    <x v="25"/>
    <n v="353"/>
    <x v="1"/>
    <x v="1"/>
    <n v="29"/>
    <n v="40"/>
    <n v="1160"/>
    <x v="0"/>
  </r>
  <r>
    <n v="526"/>
    <x v="17"/>
    <x v="6"/>
    <x v="525"/>
    <n v="6705755982"/>
    <n v="12"/>
    <x v="25"/>
    <n v="240"/>
    <x v="0"/>
    <x v="0"/>
    <n v="35"/>
    <n v="45"/>
    <n v="1575"/>
    <x v="0"/>
  </r>
  <r>
    <n v="527"/>
    <x v="17"/>
    <x v="6"/>
    <x v="526"/>
    <n v="9918132123"/>
    <n v="12"/>
    <x v="25"/>
    <n v="521"/>
    <x v="1"/>
    <x v="1"/>
    <n v="62"/>
    <n v="30"/>
    <n v="1860"/>
    <x v="1"/>
  </r>
  <r>
    <n v="528"/>
    <x v="17"/>
    <x v="6"/>
    <x v="527"/>
    <n v="8697454601"/>
    <n v="12"/>
    <x v="25"/>
    <n v="353"/>
    <x v="1"/>
    <x v="1"/>
    <n v="25"/>
    <n v="40"/>
    <n v="1000"/>
    <x v="0"/>
  </r>
  <r>
    <n v="529"/>
    <x v="17"/>
    <x v="6"/>
    <x v="528"/>
    <n v="6705755982"/>
    <n v="12"/>
    <x v="25"/>
    <n v="240"/>
    <x v="0"/>
    <x v="0"/>
    <n v="66"/>
    <n v="45"/>
    <n v="2970"/>
    <x v="0"/>
  </r>
  <r>
    <n v="530"/>
    <x v="21"/>
    <x v="6"/>
    <x v="529"/>
    <n v="3835300593"/>
    <n v="12"/>
    <x v="25"/>
    <n v="521"/>
    <x v="1"/>
    <x v="1"/>
    <n v="35"/>
    <n v="30"/>
    <n v="1050"/>
    <x v="2"/>
  </r>
  <r>
    <n v="531"/>
    <x v="21"/>
    <x v="6"/>
    <x v="530"/>
    <n v="2595711099"/>
    <n v="12"/>
    <x v="25"/>
    <n v="521"/>
    <x v="1"/>
    <x v="1"/>
    <n v="90"/>
    <n v="30"/>
    <n v="2700"/>
    <x v="0"/>
  </r>
  <r>
    <n v="532"/>
    <x v="21"/>
    <x v="6"/>
    <x v="531"/>
    <n v="7171991640"/>
    <n v="12"/>
    <x v="25"/>
    <n v="577"/>
    <x v="6"/>
    <x v="0"/>
    <n v="88"/>
    <n v="40"/>
    <n v="3520"/>
    <x v="2"/>
  </r>
  <r>
    <n v="533"/>
    <x v="21"/>
    <x v="6"/>
    <x v="532"/>
    <n v="3835300593"/>
    <n v="12"/>
    <x v="25"/>
    <n v="521"/>
    <x v="1"/>
    <x v="1"/>
    <n v="95"/>
    <n v="30"/>
    <n v="2850"/>
    <x v="2"/>
  </r>
  <r>
    <n v="534"/>
    <x v="21"/>
    <x v="6"/>
    <x v="533"/>
    <n v="2595711099"/>
    <n v="12"/>
    <x v="25"/>
    <n v="521"/>
    <x v="1"/>
    <x v="1"/>
    <n v="14"/>
    <n v="30"/>
    <n v="420"/>
    <x v="0"/>
  </r>
  <r>
    <n v="535"/>
    <x v="21"/>
    <x v="6"/>
    <x v="534"/>
    <n v="7171991640"/>
    <n v="12"/>
    <x v="25"/>
    <n v="577"/>
    <x v="6"/>
    <x v="0"/>
    <n v="82"/>
    <n v="40"/>
    <n v="3280"/>
    <x v="2"/>
  </r>
  <r>
    <n v="536"/>
    <x v="21"/>
    <x v="6"/>
    <x v="535"/>
    <n v="3835300593"/>
    <n v="12"/>
    <x v="25"/>
    <n v="521"/>
    <x v="1"/>
    <x v="1"/>
    <n v="67"/>
    <n v="30"/>
    <n v="2010"/>
    <x v="2"/>
  </r>
  <r>
    <n v="537"/>
    <x v="21"/>
    <x v="6"/>
    <x v="536"/>
    <n v="2595711099"/>
    <n v="12"/>
    <x v="25"/>
    <n v="521"/>
    <x v="1"/>
    <x v="1"/>
    <n v="66"/>
    <n v="30"/>
    <n v="1980"/>
    <x v="0"/>
  </r>
  <r>
    <n v="538"/>
    <x v="21"/>
    <x v="6"/>
    <x v="537"/>
    <n v="7171991640"/>
    <n v="12"/>
    <x v="25"/>
    <n v="577"/>
    <x v="6"/>
    <x v="0"/>
    <n v="21"/>
    <n v="40"/>
    <n v="840"/>
    <x v="2"/>
  </r>
  <r>
    <n v="539"/>
    <x v="21"/>
    <x v="6"/>
    <x v="538"/>
    <n v="3835300593"/>
    <n v="12"/>
    <x v="25"/>
    <n v="521"/>
    <x v="1"/>
    <x v="1"/>
    <n v="33"/>
    <n v="30"/>
    <n v="990"/>
    <x v="2"/>
  </r>
  <r>
    <n v="540"/>
    <x v="21"/>
    <x v="6"/>
    <x v="539"/>
    <n v="2595711099"/>
    <n v="12"/>
    <x v="25"/>
    <n v="521"/>
    <x v="1"/>
    <x v="1"/>
    <n v="18"/>
    <n v="30"/>
    <n v="540"/>
    <x v="0"/>
  </r>
  <r>
    <n v="541"/>
    <x v="21"/>
    <x v="6"/>
    <x v="540"/>
    <n v="7171991640"/>
    <n v="12"/>
    <x v="25"/>
    <n v="577"/>
    <x v="6"/>
    <x v="0"/>
    <n v="39"/>
    <n v="40"/>
    <n v="1560"/>
    <x v="2"/>
  </r>
  <r>
    <n v="542"/>
    <x v="21"/>
    <x v="6"/>
    <x v="541"/>
    <n v="3835300593"/>
    <n v="12"/>
    <x v="25"/>
    <n v="521"/>
    <x v="1"/>
    <x v="1"/>
    <n v="72"/>
    <n v="30"/>
    <n v="2160"/>
    <x v="2"/>
  </r>
  <r>
    <n v="543"/>
    <x v="21"/>
    <x v="1"/>
    <x v="542"/>
    <n v="2595711099"/>
    <n v="12"/>
    <x v="25"/>
    <n v="521"/>
    <x v="1"/>
    <x v="1"/>
    <n v="71"/>
    <n v="30"/>
    <n v="2130"/>
    <x v="0"/>
  </r>
  <r>
    <n v="544"/>
    <x v="21"/>
    <x v="1"/>
    <x v="543"/>
    <n v="7171991640"/>
    <n v="12"/>
    <x v="25"/>
    <n v="577"/>
    <x v="6"/>
    <x v="0"/>
    <n v="73"/>
    <n v="40"/>
    <n v="2920"/>
    <x v="2"/>
  </r>
  <r>
    <n v="545"/>
    <x v="21"/>
    <x v="1"/>
    <x v="544"/>
    <n v="3835300593"/>
    <n v="12"/>
    <x v="25"/>
    <n v="521"/>
    <x v="1"/>
    <x v="1"/>
    <n v="85"/>
    <n v="30"/>
    <n v="2550"/>
    <x v="2"/>
  </r>
  <r>
    <n v="546"/>
    <x v="21"/>
    <x v="1"/>
    <x v="545"/>
    <n v="2595711099"/>
    <n v="12"/>
    <x v="25"/>
    <n v="521"/>
    <x v="1"/>
    <x v="1"/>
    <n v="92"/>
    <n v="30"/>
    <n v="2760"/>
    <x v="0"/>
  </r>
  <r>
    <n v="547"/>
    <x v="21"/>
    <x v="1"/>
    <x v="546"/>
    <n v="7171991640"/>
    <n v="12"/>
    <x v="25"/>
    <n v="577"/>
    <x v="6"/>
    <x v="0"/>
    <n v="76"/>
    <n v="40"/>
    <n v="3040"/>
    <x v="2"/>
  </r>
  <r>
    <n v="548"/>
    <x v="20"/>
    <x v="1"/>
    <x v="547"/>
    <n v="7605138404"/>
    <n v="12"/>
    <x v="25"/>
    <n v="359"/>
    <x v="0"/>
    <x v="0"/>
    <n v="89"/>
    <n v="25"/>
    <n v="2225"/>
    <x v="0"/>
  </r>
  <r>
    <n v="549"/>
    <x v="20"/>
    <x v="1"/>
    <x v="548"/>
    <n v="7744399075"/>
    <n v="12"/>
    <x v="25"/>
    <n v="534"/>
    <x v="0"/>
    <x v="0"/>
    <n v="31"/>
    <n v="25"/>
    <n v="775"/>
    <x v="0"/>
  </r>
  <r>
    <n v="550"/>
    <x v="20"/>
    <x v="1"/>
    <x v="549"/>
    <n v="3403582546"/>
    <n v="12"/>
    <x v="25"/>
    <n v="568"/>
    <x v="3"/>
    <x v="2"/>
    <n v="92"/>
    <n v="1"/>
    <n v="92"/>
    <x v="0"/>
  </r>
  <r>
    <n v="551"/>
    <x v="20"/>
    <x v="1"/>
    <x v="550"/>
    <n v="8155932740"/>
    <n v="12"/>
    <x v="25"/>
    <n v="240"/>
    <x v="0"/>
    <x v="0"/>
    <n v="34"/>
    <n v="45"/>
    <n v="1530"/>
    <x v="1"/>
  </r>
  <r>
    <n v="552"/>
    <x v="20"/>
    <x v="1"/>
    <x v="551"/>
    <n v="5632912822"/>
    <n v="12"/>
    <x v="25"/>
    <n v="454"/>
    <x v="5"/>
    <x v="0"/>
    <n v="95"/>
    <n v="15"/>
    <n v="1425"/>
    <x v="1"/>
  </r>
  <r>
    <n v="553"/>
    <x v="20"/>
    <x v="1"/>
    <x v="552"/>
    <n v="7605138404"/>
    <n v="12"/>
    <x v="25"/>
    <n v="359"/>
    <x v="0"/>
    <x v="0"/>
    <n v="44"/>
    <n v="25"/>
    <n v="1100"/>
    <x v="0"/>
  </r>
  <r>
    <n v="554"/>
    <x v="20"/>
    <x v="1"/>
    <x v="553"/>
    <n v="7744399075"/>
    <n v="12"/>
    <x v="25"/>
    <n v="534"/>
    <x v="0"/>
    <x v="0"/>
    <n v="15"/>
    <n v="25"/>
    <n v="375"/>
    <x v="0"/>
  </r>
  <r>
    <n v="555"/>
    <x v="20"/>
    <x v="1"/>
    <x v="554"/>
    <n v="3403582546"/>
    <n v="12"/>
    <x v="25"/>
    <n v="568"/>
    <x v="3"/>
    <x v="2"/>
    <n v="45"/>
    <n v="1"/>
    <n v="45"/>
    <x v="0"/>
  </r>
  <r>
    <n v="556"/>
    <x v="20"/>
    <x v="1"/>
    <x v="555"/>
    <n v="8155932740"/>
    <n v="12"/>
    <x v="25"/>
    <n v="240"/>
    <x v="0"/>
    <x v="0"/>
    <n v="77"/>
    <n v="45"/>
    <n v="3465"/>
    <x v="1"/>
  </r>
  <r>
    <n v="557"/>
    <x v="20"/>
    <x v="1"/>
    <x v="556"/>
    <n v="5632912822"/>
    <n v="12"/>
    <x v="25"/>
    <n v="454"/>
    <x v="5"/>
    <x v="0"/>
    <n v="92"/>
    <n v="15"/>
    <n v="1380"/>
    <x v="1"/>
  </r>
  <r>
    <n v="558"/>
    <x v="20"/>
    <x v="1"/>
    <x v="557"/>
    <n v="7605138404"/>
    <n v="12"/>
    <x v="25"/>
    <n v="359"/>
    <x v="0"/>
    <x v="0"/>
    <n v="49"/>
    <n v="25"/>
    <n v="1225"/>
    <x v="0"/>
  </r>
  <r>
    <n v="559"/>
    <x v="20"/>
    <x v="1"/>
    <x v="558"/>
    <n v="7744399075"/>
    <n v="12"/>
    <x v="25"/>
    <n v="534"/>
    <x v="0"/>
    <x v="0"/>
    <n v="93"/>
    <n v="25"/>
    <n v="2325"/>
    <x v="0"/>
  </r>
  <r>
    <n v="560"/>
    <x v="20"/>
    <x v="1"/>
    <x v="559"/>
    <n v="3403582546"/>
    <n v="12"/>
    <x v="25"/>
    <n v="568"/>
    <x v="3"/>
    <x v="2"/>
    <n v="80"/>
    <n v="1"/>
    <n v="80"/>
    <x v="0"/>
  </r>
  <r>
    <n v="561"/>
    <x v="20"/>
    <x v="1"/>
    <x v="560"/>
    <n v="8155932740"/>
    <n v="12"/>
    <x v="25"/>
    <n v="240"/>
    <x v="0"/>
    <x v="0"/>
    <n v="15"/>
    <n v="45"/>
    <n v="675"/>
    <x v="1"/>
  </r>
  <r>
    <n v="562"/>
    <x v="20"/>
    <x v="1"/>
    <x v="561"/>
    <n v="5632912822"/>
    <n v="12"/>
    <x v="25"/>
    <n v="454"/>
    <x v="5"/>
    <x v="0"/>
    <n v="92"/>
    <n v="15"/>
    <n v="1380"/>
    <x v="1"/>
  </r>
  <r>
    <n v="563"/>
    <x v="20"/>
    <x v="1"/>
    <x v="562"/>
    <n v="7605138404"/>
    <n v="12"/>
    <x v="25"/>
    <n v="359"/>
    <x v="0"/>
    <x v="0"/>
    <n v="46"/>
    <n v="25"/>
    <n v="1150"/>
    <x v="0"/>
  </r>
  <r>
    <n v="564"/>
    <x v="20"/>
    <x v="1"/>
    <x v="563"/>
    <n v="7744399075"/>
    <n v="12"/>
    <x v="25"/>
    <n v="534"/>
    <x v="0"/>
    <x v="0"/>
    <n v="25"/>
    <n v="25"/>
    <n v="625"/>
    <x v="0"/>
  </r>
  <r>
    <n v="565"/>
    <x v="20"/>
    <x v="1"/>
    <x v="564"/>
    <n v="3403582546"/>
    <n v="12"/>
    <x v="25"/>
    <n v="568"/>
    <x v="3"/>
    <x v="2"/>
    <n v="26"/>
    <n v="1"/>
    <n v="26"/>
    <x v="0"/>
  </r>
  <r>
    <n v="566"/>
    <x v="20"/>
    <x v="1"/>
    <x v="565"/>
    <n v="8155932740"/>
    <n v="12"/>
    <x v="25"/>
    <n v="240"/>
    <x v="0"/>
    <x v="0"/>
    <n v="70"/>
    <n v="45"/>
    <n v="3150"/>
    <x v="1"/>
  </r>
  <r>
    <n v="567"/>
    <x v="20"/>
    <x v="1"/>
    <x v="566"/>
    <n v="5632912822"/>
    <n v="12"/>
    <x v="25"/>
    <n v="454"/>
    <x v="5"/>
    <x v="0"/>
    <n v="35"/>
    <n v="15"/>
    <n v="525"/>
    <x v="1"/>
  </r>
  <r>
    <n v="568"/>
    <x v="20"/>
    <x v="1"/>
    <x v="567"/>
    <n v="7605138404"/>
    <n v="12"/>
    <x v="25"/>
    <n v="359"/>
    <x v="0"/>
    <x v="0"/>
    <n v="47"/>
    <n v="25"/>
    <n v="1175"/>
    <x v="0"/>
  </r>
  <r>
    <n v="569"/>
    <x v="20"/>
    <x v="1"/>
    <x v="568"/>
    <n v="7744399075"/>
    <n v="12"/>
    <x v="25"/>
    <n v="534"/>
    <x v="0"/>
    <x v="0"/>
    <n v="41"/>
    <n v="25"/>
    <n v="1025"/>
    <x v="0"/>
  </r>
  <r>
    <n v="570"/>
    <x v="20"/>
    <x v="1"/>
    <x v="569"/>
    <n v="3403582546"/>
    <n v="12"/>
    <x v="25"/>
    <n v="568"/>
    <x v="3"/>
    <x v="2"/>
    <n v="75"/>
    <n v="1"/>
    <n v="75"/>
    <x v="0"/>
  </r>
  <r>
    <n v="571"/>
    <x v="20"/>
    <x v="1"/>
    <x v="570"/>
    <n v="8155932740"/>
    <n v="12"/>
    <x v="25"/>
    <n v="240"/>
    <x v="0"/>
    <x v="0"/>
    <n v="39"/>
    <n v="45"/>
    <n v="1755"/>
    <x v="1"/>
  </r>
  <r>
    <n v="572"/>
    <x v="20"/>
    <x v="1"/>
    <x v="571"/>
    <n v="5632912822"/>
    <n v="12"/>
    <x v="25"/>
    <n v="454"/>
    <x v="5"/>
    <x v="0"/>
    <n v="14"/>
    <n v="15"/>
    <n v="210"/>
    <x v="1"/>
  </r>
  <r>
    <n v="573"/>
    <x v="20"/>
    <x v="1"/>
    <x v="572"/>
    <n v="7605138404"/>
    <n v="12"/>
    <x v="25"/>
    <n v="359"/>
    <x v="0"/>
    <x v="0"/>
    <n v="33"/>
    <n v="25"/>
    <n v="825"/>
    <x v="0"/>
  </r>
  <r>
    <n v="574"/>
    <x v="20"/>
    <x v="1"/>
    <x v="573"/>
    <n v="7744399075"/>
    <n v="12"/>
    <x v="25"/>
    <n v="534"/>
    <x v="0"/>
    <x v="0"/>
    <n v="65"/>
    <n v="25"/>
    <n v="1625"/>
    <x v="0"/>
  </r>
  <r>
    <n v="575"/>
    <x v="20"/>
    <x v="1"/>
    <x v="574"/>
    <n v="3403582546"/>
    <n v="12"/>
    <x v="25"/>
    <n v="568"/>
    <x v="3"/>
    <x v="2"/>
    <n v="32"/>
    <n v="1"/>
    <n v="32"/>
    <x v="0"/>
  </r>
  <r>
    <n v="576"/>
    <x v="20"/>
    <x v="1"/>
    <x v="575"/>
    <n v="8155932740"/>
    <n v="12"/>
    <x v="25"/>
    <n v="240"/>
    <x v="0"/>
    <x v="0"/>
    <n v="43"/>
    <n v="45"/>
    <n v="1935"/>
    <x v="1"/>
  </r>
  <r>
    <n v="577"/>
    <x v="20"/>
    <x v="1"/>
    <x v="576"/>
    <n v="5632912822"/>
    <n v="12"/>
    <x v="25"/>
    <n v="454"/>
    <x v="5"/>
    <x v="0"/>
    <n v="71"/>
    <n v="15"/>
    <n v="1065"/>
    <x v="1"/>
  </r>
  <r>
    <n v="578"/>
    <x v="8"/>
    <x v="4"/>
    <x v="577"/>
    <n v="824212655"/>
    <n v="23"/>
    <x v="26"/>
    <n v="909"/>
    <x v="2"/>
    <x v="0"/>
    <n v="49"/>
    <n v="50"/>
    <n v="2450"/>
    <x v="2"/>
  </r>
  <r>
    <n v="579"/>
    <x v="8"/>
    <x v="4"/>
    <x v="578"/>
    <n v="824212655"/>
    <n v="23"/>
    <x v="26"/>
    <n v="909"/>
    <x v="2"/>
    <x v="0"/>
    <n v="96"/>
    <n v="50"/>
    <n v="4800"/>
    <x v="2"/>
  </r>
  <r>
    <n v="580"/>
    <x v="8"/>
    <x v="4"/>
    <x v="579"/>
    <n v="824212655"/>
    <n v="23"/>
    <x v="26"/>
    <n v="909"/>
    <x v="2"/>
    <x v="0"/>
    <n v="86"/>
    <n v="50"/>
    <n v="4300"/>
    <x v="2"/>
  </r>
  <r>
    <n v="581"/>
    <x v="8"/>
    <x v="4"/>
    <x v="580"/>
    <n v="824212655"/>
    <n v="23"/>
    <x v="26"/>
    <n v="909"/>
    <x v="2"/>
    <x v="0"/>
    <n v="36"/>
    <n v="50"/>
    <n v="1800"/>
    <x v="2"/>
  </r>
  <r>
    <n v="582"/>
    <x v="8"/>
    <x v="4"/>
    <x v="581"/>
    <n v="824212655"/>
    <n v="23"/>
    <x v="26"/>
    <n v="909"/>
    <x v="2"/>
    <x v="0"/>
    <n v="47"/>
    <n v="50"/>
    <n v="2350"/>
    <x v="2"/>
  </r>
  <r>
    <n v="583"/>
    <x v="8"/>
    <x v="4"/>
    <x v="582"/>
    <n v="824212655"/>
    <n v="23"/>
    <x v="26"/>
    <n v="909"/>
    <x v="2"/>
    <x v="0"/>
    <n v="41"/>
    <n v="50"/>
    <n v="2050"/>
    <x v="2"/>
  </r>
  <r>
    <n v="584"/>
    <x v="17"/>
    <x v="1"/>
    <x v="583"/>
    <n v="4769619714"/>
    <n v="19"/>
    <x v="27"/>
    <n v="353"/>
    <x v="1"/>
    <x v="1"/>
    <n v="11"/>
    <n v="40"/>
    <n v="440"/>
    <x v="2"/>
  </r>
  <r>
    <n v="585"/>
    <x v="17"/>
    <x v="1"/>
    <x v="584"/>
    <n v="6593608841"/>
    <n v="19"/>
    <x v="27"/>
    <n v="240"/>
    <x v="0"/>
    <x v="0"/>
    <n v="24"/>
    <n v="45"/>
    <n v="1080"/>
    <x v="0"/>
  </r>
  <r>
    <n v="586"/>
    <x v="17"/>
    <x v="1"/>
    <x v="585"/>
    <n v="2633990398"/>
    <n v="19"/>
    <x v="27"/>
    <n v="548"/>
    <x v="2"/>
    <x v="0"/>
    <n v="59"/>
    <n v="90"/>
    <n v="5310"/>
    <x v="2"/>
  </r>
  <r>
    <n v="587"/>
    <x v="17"/>
    <x v="1"/>
    <x v="586"/>
    <n v="691280202"/>
    <n v="19"/>
    <x v="27"/>
    <n v="521"/>
    <x v="1"/>
    <x v="1"/>
    <n v="80"/>
    <n v="30"/>
    <n v="2400"/>
    <x v="2"/>
  </r>
  <r>
    <n v="588"/>
    <x v="17"/>
    <x v="1"/>
    <x v="587"/>
    <n v="273499122"/>
    <n v="19"/>
    <x v="27"/>
    <n v="521"/>
    <x v="1"/>
    <x v="1"/>
    <n v="27"/>
    <n v="30"/>
    <n v="810"/>
    <x v="0"/>
  </r>
  <r>
    <n v="589"/>
    <x v="17"/>
    <x v="1"/>
    <x v="588"/>
    <n v="4769619714"/>
    <n v="19"/>
    <x v="27"/>
    <n v="353"/>
    <x v="1"/>
    <x v="1"/>
    <n v="44"/>
    <n v="40"/>
    <n v="1760"/>
    <x v="2"/>
  </r>
  <r>
    <n v="590"/>
    <x v="17"/>
    <x v="1"/>
    <x v="589"/>
    <n v="6593608841"/>
    <n v="19"/>
    <x v="27"/>
    <n v="240"/>
    <x v="0"/>
    <x v="0"/>
    <n v="56"/>
    <n v="45"/>
    <n v="2520"/>
    <x v="0"/>
  </r>
  <r>
    <n v="591"/>
    <x v="17"/>
    <x v="1"/>
    <x v="590"/>
    <n v="2633990398"/>
    <n v="19"/>
    <x v="27"/>
    <n v="548"/>
    <x v="2"/>
    <x v="0"/>
    <n v="48"/>
    <n v="90"/>
    <n v="4320"/>
    <x v="2"/>
  </r>
  <r>
    <n v="592"/>
    <x v="17"/>
    <x v="1"/>
    <x v="591"/>
    <n v="691280202"/>
    <n v="19"/>
    <x v="27"/>
    <n v="521"/>
    <x v="1"/>
    <x v="1"/>
    <n v="21"/>
    <n v="30"/>
    <n v="630"/>
    <x v="2"/>
  </r>
  <r>
    <n v="593"/>
    <x v="17"/>
    <x v="1"/>
    <x v="592"/>
    <n v="273499122"/>
    <n v="19"/>
    <x v="27"/>
    <n v="521"/>
    <x v="1"/>
    <x v="1"/>
    <n v="92"/>
    <n v="30"/>
    <n v="2760"/>
    <x v="0"/>
  </r>
  <r>
    <n v="594"/>
    <x v="17"/>
    <x v="1"/>
    <x v="593"/>
    <n v="4769619714"/>
    <n v="36"/>
    <x v="28"/>
    <n v="353"/>
    <x v="1"/>
    <x v="1"/>
    <n v="44"/>
    <n v="40"/>
    <n v="1760"/>
    <x v="2"/>
  </r>
  <r>
    <n v="595"/>
    <x v="17"/>
    <x v="1"/>
    <x v="594"/>
    <n v="6593608841"/>
    <n v="36"/>
    <x v="28"/>
    <n v="240"/>
    <x v="0"/>
    <x v="0"/>
    <n v="52"/>
    <n v="45"/>
    <n v="2340"/>
    <x v="0"/>
  </r>
  <r>
    <n v="596"/>
    <x v="17"/>
    <x v="1"/>
    <x v="595"/>
    <n v="2633990398"/>
    <n v="36"/>
    <x v="28"/>
    <n v="548"/>
    <x v="2"/>
    <x v="0"/>
    <n v="84"/>
    <n v="90"/>
    <n v="7560"/>
    <x v="2"/>
  </r>
  <r>
    <n v="597"/>
    <x v="17"/>
    <x v="1"/>
    <x v="596"/>
    <n v="691280202"/>
    <n v="36"/>
    <x v="28"/>
    <n v="521"/>
    <x v="1"/>
    <x v="1"/>
    <n v="59"/>
    <n v="30"/>
    <n v="1770"/>
    <x v="2"/>
  </r>
  <r>
    <n v="598"/>
    <x v="17"/>
    <x v="1"/>
    <x v="597"/>
    <n v="273499122"/>
    <n v="36"/>
    <x v="28"/>
    <n v="521"/>
    <x v="1"/>
    <x v="1"/>
    <n v="99"/>
    <n v="30"/>
    <n v="2970"/>
    <x v="0"/>
  </r>
  <r>
    <n v="599"/>
    <x v="17"/>
    <x v="1"/>
    <x v="598"/>
    <n v="4769619714"/>
    <n v="36"/>
    <x v="28"/>
    <n v="353"/>
    <x v="1"/>
    <x v="1"/>
    <n v="67"/>
    <n v="40"/>
    <n v="2680"/>
    <x v="2"/>
  </r>
  <r>
    <n v="600"/>
    <x v="17"/>
    <x v="1"/>
    <x v="599"/>
    <n v="6593608841"/>
    <n v="36"/>
    <x v="28"/>
    <n v="240"/>
    <x v="0"/>
    <x v="0"/>
    <n v="69"/>
    <n v="45"/>
    <n v="3105"/>
    <x v="0"/>
  </r>
  <r>
    <n v="601"/>
    <x v="17"/>
    <x v="1"/>
    <x v="600"/>
    <n v="2633990398"/>
    <n v="36"/>
    <x v="28"/>
    <n v="548"/>
    <x v="2"/>
    <x v="0"/>
    <n v="95"/>
    <n v="90"/>
    <n v="8550"/>
    <x v="2"/>
  </r>
  <r>
    <n v="602"/>
    <x v="17"/>
    <x v="1"/>
    <x v="601"/>
    <n v="691280202"/>
    <n v="36"/>
    <x v="28"/>
    <n v="521"/>
    <x v="1"/>
    <x v="1"/>
    <n v="32"/>
    <n v="30"/>
    <n v="960"/>
    <x v="2"/>
  </r>
  <r>
    <n v="603"/>
    <x v="17"/>
    <x v="1"/>
    <x v="602"/>
    <n v="273499122"/>
    <n v="36"/>
    <x v="28"/>
    <n v="521"/>
    <x v="1"/>
    <x v="1"/>
    <n v="21"/>
    <n v="30"/>
    <n v="630"/>
    <x v="0"/>
  </r>
  <r>
    <n v="604"/>
    <x v="17"/>
    <x v="6"/>
    <x v="603"/>
    <n v="4769619714"/>
    <n v="36"/>
    <x v="28"/>
    <n v="353"/>
    <x v="1"/>
    <x v="1"/>
    <n v="71"/>
    <n v="40"/>
    <n v="2840"/>
    <x v="2"/>
  </r>
  <r>
    <n v="605"/>
    <x v="17"/>
    <x v="6"/>
    <x v="604"/>
    <n v="6593608841"/>
    <n v="36"/>
    <x v="28"/>
    <n v="240"/>
    <x v="0"/>
    <x v="0"/>
    <n v="46"/>
    <n v="45"/>
    <n v="2070"/>
    <x v="0"/>
  </r>
  <r>
    <n v="606"/>
    <x v="17"/>
    <x v="6"/>
    <x v="605"/>
    <n v="2633990398"/>
    <n v="36"/>
    <x v="28"/>
    <n v="548"/>
    <x v="2"/>
    <x v="0"/>
    <n v="97"/>
    <n v="90"/>
    <n v="8730"/>
    <x v="2"/>
  </r>
  <r>
    <n v="607"/>
    <x v="17"/>
    <x v="6"/>
    <x v="606"/>
    <n v="691280202"/>
    <n v="19"/>
    <x v="27"/>
    <n v="521"/>
    <x v="1"/>
    <x v="1"/>
    <n v="90"/>
    <n v="30"/>
    <n v="2700"/>
    <x v="2"/>
  </r>
  <r>
    <n v="608"/>
    <x v="17"/>
    <x v="6"/>
    <x v="607"/>
    <n v="273499122"/>
    <n v="19"/>
    <x v="27"/>
    <n v="521"/>
    <x v="1"/>
    <x v="1"/>
    <n v="32"/>
    <n v="30"/>
    <n v="960"/>
    <x v="0"/>
  </r>
  <r>
    <n v="609"/>
    <x v="17"/>
    <x v="6"/>
    <x v="608"/>
    <n v="4769619714"/>
    <n v="19"/>
    <x v="27"/>
    <n v="353"/>
    <x v="1"/>
    <x v="1"/>
    <n v="74"/>
    <n v="40"/>
    <n v="2960"/>
    <x v="2"/>
  </r>
  <r>
    <n v="610"/>
    <x v="17"/>
    <x v="6"/>
    <x v="609"/>
    <n v="6593608841"/>
    <n v="19"/>
    <x v="27"/>
    <n v="240"/>
    <x v="0"/>
    <x v="0"/>
    <n v="54"/>
    <n v="45"/>
    <n v="2430"/>
    <x v="0"/>
  </r>
  <r>
    <n v="611"/>
    <x v="17"/>
    <x v="6"/>
    <x v="610"/>
    <n v="2633990398"/>
    <n v="19"/>
    <x v="27"/>
    <n v="548"/>
    <x v="2"/>
    <x v="0"/>
    <n v="86"/>
    <n v="90"/>
    <n v="7740"/>
    <x v="2"/>
  </r>
  <r>
    <n v="612"/>
    <x v="17"/>
    <x v="6"/>
    <x v="611"/>
    <n v="691280202"/>
    <n v="19"/>
    <x v="27"/>
    <n v="521"/>
    <x v="1"/>
    <x v="1"/>
    <n v="16"/>
    <n v="30"/>
    <n v="480"/>
    <x v="2"/>
  </r>
  <r>
    <n v="613"/>
    <x v="17"/>
    <x v="1"/>
    <x v="612"/>
    <n v="273499122"/>
    <n v="37"/>
    <x v="29"/>
    <n v="521"/>
    <x v="1"/>
    <x v="1"/>
    <n v="61"/>
    <n v="30"/>
    <n v="1830"/>
    <x v="0"/>
  </r>
  <r>
    <n v="614"/>
    <x v="21"/>
    <x v="1"/>
    <x v="613"/>
    <n v="4636729558"/>
    <n v="37"/>
    <x v="29"/>
    <n v="896"/>
    <x v="5"/>
    <x v="0"/>
    <n v="31"/>
    <n v="15"/>
    <n v="465"/>
    <x v="2"/>
  </r>
  <r>
    <n v="615"/>
    <x v="21"/>
    <x v="1"/>
    <x v="614"/>
    <n v="4636729558"/>
    <n v="37"/>
    <x v="29"/>
    <n v="896"/>
    <x v="5"/>
    <x v="0"/>
    <n v="64"/>
    <n v="15"/>
    <n v="960"/>
    <x v="2"/>
  </r>
  <r>
    <n v="616"/>
    <x v="21"/>
    <x v="1"/>
    <x v="615"/>
    <n v="4636729558"/>
    <n v="37"/>
    <x v="29"/>
    <n v="896"/>
    <x v="5"/>
    <x v="0"/>
    <n v="77"/>
    <n v="15"/>
    <n v="1155"/>
    <x v="2"/>
  </r>
  <r>
    <n v="617"/>
    <x v="21"/>
    <x v="1"/>
    <x v="616"/>
    <n v="4636729558"/>
    <n v="37"/>
    <x v="29"/>
    <n v="896"/>
    <x v="5"/>
    <x v="0"/>
    <n v="89"/>
    <n v="15"/>
    <n v="1335"/>
    <x v="2"/>
  </r>
  <r>
    <n v="618"/>
    <x v="21"/>
    <x v="1"/>
    <x v="617"/>
    <n v="4636729558"/>
    <n v="37"/>
    <x v="29"/>
    <n v="896"/>
    <x v="5"/>
    <x v="0"/>
    <n v="24"/>
    <n v="15"/>
    <n v="360"/>
    <x v="2"/>
  </r>
  <r>
    <n v="619"/>
    <x v="21"/>
    <x v="1"/>
    <x v="618"/>
    <n v="4636729558"/>
    <n v="37"/>
    <x v="29"/>
    <n v="896"/>
    <x v="5"/>
    <x v="0"/>
    <n v="31"/>
    <n v="15"/>
    <n v="46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Değerler" updatedVersion="7" minRefreshableVersion="5" useAutoFormatting="1" itemPrintTitles="1" createdVersion="6" indent="0" outline="1" outlineData="1" multipleFieldFilters="0" chartFormat="3">
  <location ref="A3:B26" firstHeaderRow="1" firstDataRow="1" firstDataCol="1"/>
  <pivotFields count="14">
    <pivotField numFmtId="165" showAll="0"/>
    <pivotField axis="axisRow" showAll="0">
      <items count="23">
        <item x="0"/>
        <item x="7"/>
        <item x="8"/>
        <item x="16"/>
        <item x="13"/>
        <item x="17"/>
        <item x="11"/>
        <item x="18"/>
        <item x="9"/>
        <item x="10"/>
        <item x="21"/>
        <item x="1"/>
        <item x="15"/>
        <item x="12"/>
        <item x="2"/>
        <item x="3"/>
        <item x="14"/>
        <item x="4"/>
        <item x="19"/>
        <item x="5"/>
        <item x="20"/>
        <item x="6"/>
        <item t="default"/>
      </items>
    </pivotField>
    <pivotField showAll="0">
      <items count="8">
        <item x="0"/>
        <item x="3"/>
        <item x="4"/>
        <item x="5"/>
        <item x="2"/>
        <item x="6"/>
        <item x="1"/>
        <item t="default"/>
      </items>
    </pivotField>
    <pivotField numFmtId="14" showAll="0">
      <items count="620">
        <item x="402"/>
        <item x="583"/>
        <item x="584"/>
        <item x="403"/>
        <item x="511"/>
        <item x="487"/>
        <item x="585"/>
        <item x="404"/>
        <item x="512"/>
        <item x="586"/>
        <item x="529"/>
        <item x="530"/>
        <item x="613"/>
        <item x="531"/>
        <item x="282"/>
        <item x="162"/>
        <item x="163"/>
        <item x="283"/>
        <item x="192"/>
        <item x="475"/>
        <item x="193"/>
        <item x="476"/>
        <item x="284"/>
        <item x="285"/>
        <item x="286"/>
        <item x="194"/>
        <item x="372"/>
        <item x="6"/>
        <item x="7"/>
        <item x="493"/>
        <item x="270"/>
        <item x="150"/>
        <item x="457"/>
        <item x="126"/>
        <item x="210"/>
        <item x="36"/>
        <item x="228"/>
        <item x="60"/>
        <item x="61"/>
        <item x="62"/>
        <item x="234"/>
        <item x="235"/>
        <item x="63"/>
        <item x="64"/>
        <item x="236"/>
        <item x="65"/>
        <item x="513"/>
        <item x="587"/>
        <item x="0"/>
        <item x="216"/>
        <item x="217"/>
        <item x="252"/>
        <item x="102"/>
        <item x="433"/>
        <item x="103"/>
        <item x="348"/>
        <item x="577"/>
        <item x="318"/>
        <item x="174"/>
        <item x="253"/>
        <item x="349"/>
        <item x="390"/>
        <item x="254"/>
        <item x="350"/>
        <item x="175"/>
        <item x="434"/>
        <item x="351"/>
        <item x="435"/>
        <item x="436"/>
        <item x="104"/>
        <item x="105"/>
        <item x="319"/>
        <item x="320"/>
        <item x="30"/>
        <item x="415"/>
        <item x="499"/>
        <item x="547"/>
        <item x="548"/>
        <item x="500"/>
        <item x="549"/>
        <item x="550"/>
        <item x="551"/>
        <item x="469"/>
        <item x="396"/>
        <item x="18"/>
        <item x="19"/>
        <item x="186"/>
        <item x="276"/>
        <item x="463"/>
        <item x="336"/>
        <item x="156"/>
        <item x="132"/>
        <item x="42"/>
        <item x="43"/>
        <item x="44"/>
        <item x="378"/>
        <item x="312"/>
        <item x="138"/>
        <item x="421"/>
        <item x="96"/>
        <item x="139"/>
        <item x="342"/>
        <item x="422"/>
        <item x="379"/>
        <item x="588"/>
        <item x="589"/>
        <item x="405"/>
        <item x="514"/>
        <item x="488"/>
        <item x="590"/>
        <item x="406"/>
        <item x="515"/>
        <item x="591"/>
        <item x="532"/>
        <item x="533"/>
        <item x="614"/>
        <item x="534"/>
        <item x="287"/>
        <item x="164"/>
        <item x="165"/>
        <item x="288"/>
        <item x="195"/>
        <item x="477"/>
        <item x="196"/>
        <item x="478"/>
        <item x="289"/>
        <item x="290"/>
        <item x="291"/>
        <item x="197"/>
        <item x="373"/>
        <item x="8"/>
        <item x="9"/>
        <item x="494"/>
        <item x="271"/>
        <item x="151"/>
        <item x="458"/>
        <item x="127"/>
        <item x="211"/>
        <item x="37"/>
        <item x="229"/>
        <item x="66"/>
        <item x="67"/>
        <item x="68"/>
        <item x="237"/>
        <item x="238"/>
        <item x="69"/>
        <item x="70"/>
        <item x="239"/>
        <item x="71"/>
        <item x="516"/>
        <item x="592"/>
        <item x="1"/>
        <item x="218"/>
        <item x="219"/>
        <item x="255"/>
        <item x="106"/>
        <item x="437"/>
        <item x="107"/>
        <item x="352"/>
        <item x="578"/>
        <item x="321"/>
        <item x="176"/>
        <item x="256"/>
        <item x="353"/>
        <item x="391"/>
        <item x="257"/>
        <item x="354"/>
        <item x="177"/>
        <item x="438"/>
        <item x="355"/>
        <item x="439"/>
        <item x="440"/>
        <item x="108"/>
        <item x="109"/>
        <item x="322"/>
        <item x="323"/>
        <item x="31"/>
        <item x="416"/>
        <item x="501"/>
        <item x="552"/>
        <item x="553"/>
        <item x="502"/>
        <item x="554"/>
        <item x="555"/>
        <item x="556"/>
        <item x="470"/>
        <item x="397"/>
        <item x="20"/>
        <item x="21"/>
        <item x="187"/>
        <item x="277"/>
        <item x="464"/>
        <item x="337"/>
        <item x="157"/>
        <item x="133"/>
        <item x="45"/>
        <item x="46"/>
        <item x="47"/>
        <item x="380"/>
        <item x="313"/>
        <item x="140"/>
        <item x="423"/>
        <item x="97"/>
        <item x="141"/>
        <item x="343"/>
        <item x="424"/>
        <item x="381"/>
        <item x="593"/>
        <item x="594"/>
        <item x="407"/>
        <item x="517"/>
        <item x="489"/>
        <item x="595"/>
        <item x="408"/>
        <item x="518"/>
        <item x="596"/>
        <item x="535"/>
        <item x="536"/>
        <item x="615"/>
        <item x="537"/>
        <item x="292"/>
        <item x="166"/>
        <item x="167"/>
        <item x="293"/>
        <item x="198"/>
        <item x="479"/>
        <item x="199"/>
        <item x="480"/>
        <item x="294"/>
        <item x="295"/>
        <item x="296"/>
        <item x="200"/>
        <item x="374"/>
        <item x="10"/>
        <item x="11"/>
        <item x="495"/>
        <item x="272"/>
        <item x="152"/>
        <item x="459"/>
        <item x="128"/>
        <item x="212"/>
        <item x="38"/>
        <item x="230"/>
        <item x="72"/>
        <item x="73"/>
        <item x="74"/>
        <item x="240"/>
        <item x="241"/>
        <item x="75"/>
        <item x="76"/>
        <item x="242"/>
        <item x="77"/>
        <item x="519"/>
        <item x="597"/>
        <item x="2"/>
        <item x="220"/>
        <item x="221"/>
        <item x="258"/>
        <item x="110"/>
        <item x="441"/>
        <item x="111"/>
        <item x="356"/>
        <item x="579"/>
        <item x="324"/>
        <item x="178"/>
        <item x="259"/>
        <item x="357"/>
        <item x="392"/>
        <item x="260"/>
        <item x="358"/>
        <item x="179"/>
        <item x="442"/>
        <item x="359"/>
        <item x="443"/>
        <item x="444"/>
        <item x="112"/>
        <item x="113"/>
        <item x="325"/>
        <item x="326"/>
        <item x="32"/>
        <item x="417"/>
        <item x="503"/>
        <item x="557"/>
        <item x="558"/>
        <item x="504"/>
        <item x="559"/>
        <item x="560"/>
        <item x="561"/>
        <item x="471"/>
        <item x="398"/>
        <item x="22"/>
        <item x="23"/>
        <item x="188"/>
        <item x="278"/>
        <item x="465"/>
        <item x="338"/>
        <item x="158"/>
        <item x="134"/>
        <item x="48"/>
        <item x="49"/>
        <item x="50"/>
        <item x="382"/>
        <item x="314"/>
        <item x="142"/>
        <item x="425"/>
        <item x="98"/>
        <item x="143"/>
        <item x="344"/>
        <item x="426"/>
        <item x="383"/>
        <item x="598"/>
        <item x="599"/>
        <item x="409"/>
        <item x="520"/>
        <item x="490"/>
        <item x="600"/>
        <item x="410"/>
        <item x="521"/>
        <item x="601"/>
        <item x="538"/>
        <item x="539"/>
        <item x="616"/>
        <item x="540"/>
        <item x="297"/>
        <item x="168"/>
        <item x="169"/>
        <item x="298"/>
        <item x="201"/>
        <item x="481"/>
        <item x="202"/>
        <item x="482"/>
        <item x="299"/>
        <item x="300"/>
        <item x="301"/>
        <item x="203"/>
        <item x="375"/>
        <item x="12"/>
        <item x="13"/>
        <item x="496"/>
        <item x="273"/>
        <item x="153"/>
        <item x="460"/>
        <item x="129"/>
        <item x="213"/>
        <item x="39"/>
        <item x="231"/>
        <item x="78"/>
        <item x="79"/>
        <item x="80"/>
        <item x="243"/>
        <item x="244"/>
        <item x="81"/>
        <item x="82"/>
        <item x="245"/>
        <item x="83"/>
        <item x="522"/>
        <item x="602"/>
        <item x="3"/>
        <item x="222"/>
        <item x="223"/>
        <item x="261"/>
        <item x="114"/>
        <item x="445"/>
        <item x="115"/>
        <item x="360"/>
        <item x="580"/>
        <item x="327"/>
        <item x="180"/>
        <item x="262"/>
        <item x="361"/>
        <item x="393"/>
        <item x="263"/>
        <item x="362"/>
        <item x="181"/>
        <item x="446"/>
        <item x="363"/>
        <item x="447"/>
        <item x="448"/>
        <item x="116"/>
        <item x="117"/>
        <item x="328"/>
        <item x="329"/>
        <item x="33"/>
        <item x="418"/>
        <item x="505"/>
        <item x="562"/>
        <item x="563"/>
        <item x="506"/>
        <item x="564"/>
        <item x="565"/>
        <item x="566"/>
        <item x="472"/>
        <item x="399"/>
        <item x="24"/>
        <item x="25"/>
        <item x="189"/>
        <item x="279"/>
        <item x="466"/>
        <item x="339"/>
        <item x="159"/>
        <item x="135"/>
        <item x="51"/>
        <item x="52"/>
        <item x="53"/>
        <item x="384"/>
        <item x="315"/>
        <item x="144"/>
        <item x="427"/>
        <item x="99"/>
        <item x="145"/>
        <item x="345"/>
        <item x="428"/>
        <item x="385"/>
        <item x="603"/>
        <item x="604"/>
        <item x="411"/>
        <item x="523"/>
        <item x="491"/>
        <item x="605"/>
        <item x="412"/>
        <item x="524"/>
        <item x="606"/>
        <item x="541"/>
        <item x="542"/>
        <item x="617"/>
        <item x="543"/>
        <item x="302"/>
        <item x="170"/>
        <item x="171"/>
        <item x="303"/>
        <item x="204"/>
        <item x="483"/>
        <item x="205"/>
        <item x="484"/>
        <item x="304"/>
        <item x="305"/>
        <item x="306"/>
        <item x="206"/>
        <item x="376"/>
        <item x="14"/>
        <item x="15"/>
        <item x="497"/>
        <item x="274"/>
        <item x="154"/>
        <item x="461"/>
        <item x="130"/>
        <item x="214"/>
        <item x="40"/>
        <item x="232"/>
        <item x="84"/>
        <item x="85"/>
        <item x="86"/>
        <item x="246"/>
        <item x="247"/>
        <item x="87"/>
        <item x="88"/>
        <item x="248"/>
        <item x="89"/>
        <item x="525"/>
        <item x="607"/>
        <item x="4"/>
        <item x="224"/>
        <item x="225"/>
        <item x="264"/>
        <item x="118"/>
        <item x="449"/>
        <item x="119"/>
        <item x="364"/>
        <item x="581"/>
        <item x="330"/>
        <item x="182"/>
        <item x="265"/>
        <item x="365"/>
        <item x="394"/>
        <item x="266"/>
        <item x="366"/>
        <item x="183"/>
        <item x="450"/>
        <item x="367"/>
        <item x="451"/>
        <item x="452"/>
        <item x="120"/>
        <item x="121"/>
        <item x="331"/>
        <item x="332"/>
        <item x="34"/>
        <item x="419"/>
        <item x="507"/>
        <item x="567"/>
        <item x="568"/>
        <item x="508"/>
        <item x="569"/>
        <item x="570"/>
        <item x="571"/>
        <item x="473"/>
        <item x="400"/>
        <item x="26"/>
        <item x="27"/>
        <item x="190"/>
        <item x="280"/>
        <item x="467"/>
        <item x="340"/>
        <item x="160"/>
        <item x="136"/>
        <item x="54"/>
        <item x="55"/>
        <item x="56"/>
        <item x="386"/>
        <item x="316"/>
        <item x="146"/>
        <item x="429"/>
        <item x="100"/>
        <item x="147"/>
        <item x="346"/>
        <item x="430"/>
        <item x="387"/>
        <item x="608"/>
        <item x="609"/>
        <item x="413"/>
        <item x="526"/>
        <item x="492"/>
        <item x="610"/>
        <item x="414"/>
        <item x="527"/>
        <item x="611"/>
        <item x="544"/>
        <item x="545"/>
        <item x="618"/>
        <item x="546"/>
        <item x="307"/>
        <item x="172"/>
        <item x="173"/>
        <item x="308"/>
        <item x="207"/>
        <item x="485"/>
        <item x="208"/>
        <item x="486"/>
        <item x="309"/>
        <item x="310"/>
        <item x="311"/>
        <item x="209"/>
        <item x="377"/>
        <item x="16"/>
        <item x="17"/>
        <item x="498"/>
        <item x="275"/>
        <item x="155"/>
        <item x="462"/>
        <item x="131"/>
        <item x="215"/>
        <item x="41"/>
        <item x="233"/>
        <item x="90"/>
        <item x="91"/>
        <item x="92"/>
        <item x="249"/>
        <item x="250"/>
        <item x="93"/>
        <item x="94"/>
        <item x="251"/>
        <item x="95"/>
        <item x="528"/>
        <item x="612"/>
        <item x="5"/>
        <item x="226"/>
        <item x="227"/>
        <item x="267"/>
        <item x="122"/>
        <item x="453"/>
        <item x="123"/>
        <item x="368"/>
        <item x="582"/>
        <item x="333"/>
        <item x="184"/>
        <item x="268"/>
        <item x="369"/>
        <item x="395"/>
        <item x="269"/>
        <item x="370"/>
        <item x="185"/>
        <item x="454"/>
        <item x="371"/>
        <item x="455"/>
        <item x="456"/>
        <item x="124"/>
        <item x="125"/>
        <item x="334"/>
        <item x="335"/>
        <item x="35"/>
        <item x="420"/>
        <item x="509"/>
        <item x="572"/>
        <item x="573"/>
        <item x="510"/>
        <item x="574"/>
        <item x="575"/>
        <item x="576"/>
        <item x="474"/>
        <item x="401"/>
        <item x="28"/>
        <item x="29"/>
        <item x="191"/>
        <item x="281"/>
        <item x="468"/>
        <item x="341"/>
        <item x="161"/>
        <item x="137"/>
        <item x="57"/>
        <item x="58"/>
        <item x="59"/>
        <item x="388"/>
        <item x="317"/>
        <item x="148"/>
        <item x="431"/>
        <item x="101"/>
        <item x="149"/>
        <item x="347"/>
        <item x="432"/>
        <item x="389"/>
        <item t="default"/>
      </items>
    </pivotField>
    <pivotField numFmtId="167" showAll="0"/>
    <pivotField numFmtId="168" showAll="0"/>
    <pivotField showAll="0">
      <items count="31">
        <item x="0"/>
        <item x="4"/>
        <item x="17"/>
        <item x="1"/>
        <item x="7"/>
        <item x="20"/>
        <item x="23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15"/>
        <item x="22"/>
        <item x="25"/>
        <item x="26"/>
        <item x="14"/>
        <item x="27"/>
        <item t="default"/>
      </items>
    </pivotField>
    <pivotField numFmtId="169" showAll="0"/>
    <pivotField showAll="0"/>
    <pivotField showAll="0"/>
    <pivotField showAll="0"/>
    <pivotField numFmtId="3" showAll="0"/>
    <pivotField dataField="1" numFmtId="3"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Toplam Tutar" fld="1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Değerler" updatedVersion="7" minRefreshableVersion="5" useAutoFormatting="1" itemPrintTitles="1" createdVersion="6" indent="0" outline="1" outlineData="1" multipleFieldFilters="0" chartFormat="3">
  <location ref="J2:K10" firstHeaderRow="1" firstDataRow="1" firstDataCol="1"/>
  <pivotFields count="14">
    <pivotField numFmtId="165" showAll="0"/>
    <pivotField showAll="0"/>
    <pivotField showAll="0">
      <items count="8">
        <item x="0"/>
        <item x="3"/>
        <item x="4"/>
        <item x="5"/>
        <item x="2"/>
        <item x="6"/>
        <item x="1"/>
        <item t="default"/>
      </items>
    </pivotField>
    <pivotField numFmtId="14" showAll="0">
      <items count="620">
        <item x="402"/>
        <item x="583"/>
        <item x="584"/>
        <item x="403"/>
        <item x="511"/>
        <item x="487"/>
        <item x="585"/>
        <item x="404"/>
        <item x="512"/>
        <item x="586"/>
        <item x="529"/>
        <item x="530"/>
        <item x="613"/>
        <item x="531"/>
        <item x="282"/>
        <item x="162"/>
        <item x="163"/>
        <item x="283"/>
        <item x="192"/>
        <item x="475"/>
        <item x="193"/>
        <item x="476"/>
        <item x="284"/>
        <item x="285"/>
        <item x="286"/>
        <item x="194"/>
        <item x="372"/>
        <item x="6"/>
        <item x="7"/>
        <item x="493"/>
        <item x="270"/>
        <item x="150"/>
        <item x="457"/>
        <item x="126"/>
        <item x="210"/>
        <item x="36"/>
        <item x="228"/>
        <item x="60"/>
        <item x="61"/>
        <item x="62"/>
        <item x="234"/>
        <item x="235"/>
        <item x="63"/>
        <item x="64"/>
        <item x="236"/>
        <item x="65"/>
        <item x="513"/>
        <item x="587"/>
        <item x="0"/>
        <item x="216"/>
        <item x="217"/>
        <item x="252"/>
        <item x="102"/>
        <item x="433"/>
        <item x="103"/>
        <item x="348"/>
        <item x="577"/>
        <item x="318"/>
        <item x="174"/>
        <item x="253"/>
        <item x="349"/>
        <item x="390"/>
        <item x="254"/>
        <item x="350"/>
        <item x="175"/>
        <item x="434"/>
        <item x="351"/>
        <item x="435"/>
        <item x="436"/>
        <item x="104"/>
        <item x="105"/>
        <item x="319"/>
        <item x="320"/>
        <item x="30"/>
        <item x="415"/>
        <item x="499"/>
        <item x="547"/>
        <item x="548"/>
        <item x="500"/>
        <item x="549"/>
        <item x="550"/>
        <item x="551"/>
        <item x="469"/>
        <item x="396"/>
        <item x="18"/>
        <item x="19"/>
        <item x="186"/>
        <item x="276"/>
        <item x="463"/>
        <item x="336"/>
        <item x="156"/>
        <item x="132"/>
        <item x="42"/>
        <item x="43"/>
        <item x="44"/>
        <item x="378"/>
        <item x="312"/>
        <item x="138"/>
        <item x="421"/>
        <item x="96"/>
        <item x="139"/>
        <item x="342"/>
        <item x="422"/>
        <item x="379"/>
        <item x="588"/>
        <item x="589"/>
        <item x="405"/>
        <item x="514"/>
        <item x="488"/>
        <item x="590"/>
        <item x="406"/>
        <item x="515"/>
        <item x="591"/>
        <item x="532"/>
        <item x="533"/>
        <item x="614"/>
        <item x="534"/>
        <item x="287"/>
        <item x="164"/>
        <item x="165"/>
        <item x="288"/>
        <item x="195"/>
        <item x="477"/>
        <item x="196"/>
        <item x="478"/>
        <item x="289"/>
        <item x="290"/>
        <item x="291"/>
        <item x="197"/>
        <item x="373"/>
        <item x="8"/>
        <item x="9"/>
        <item x="494"/>
        <item x="271"/>
        <item x="151"/>
        <item x="458"/>
        <item x="127"/>
        <item x="211"/>
        <item x="37"/>
        <item x="229"/>
        <item x="66"/>
        <item x="67"/>
        <item x="68"/>
        <item x="237"/>
        <item x="238"/>
        <item x="69"/>
        <item x="70"/>
        <item x="239"/>
        <item x="71"/>
        <item x="516"/>
        <item x="592"/>
        <item x="1"/>
        <item x="218"/>
        <item x="219"/>
        <item x="255"/>
        <item x="106"/>
        <item x="437"/>
        <item x="107"/>
        <item x="352"/>
        <item x="578"/>
        <item x="321"/>
        <item x="176"/>
        <item x="256"/>
        <item x="353"/>
        <item x="391"/>
        <item x="257"/>
        <item x="354"/>
        <item x="177"/>
        <item x="438"/>
        <item x="355"/>
        <item x="439"/>
        <item x="440"/>
        <item x="108"/>
        <item x="109"/>
        <item x="322"/>
        <item x="323"/>
        <item x="31"/>
        <item x="416"/>
        <item x="501"/>
        <item x="552"/>
        <item x="553"/>
        <item x="502"/>
        <item x="554"/>
        <item x="555"/>
        <item x="556"/>
        <item x="470"/>
        <item x="397"/>
        <item x="20"/>
        <item x="21"/>
        <item x="187"/>
        <item x="277"/>
        <item x="464"/>
        <item x="337"/>
        <item x="157"/>
        <item x="133"/>
        <item x="45"/>
        <item x="46"/>
        <item x="47"/>
        <item x="380"/>
        <item x="313"/>
        <item x="140"/>
        <item x="423"/>
        <item x="97"/>
        <item x="141"/>
        <item x="343"/>
        <item x="424"/>
        <item x="381"/>
        <item x="593"/>
        <item x="594"/>
        <item x="407"/>
        <item x="517"/>
        <item x="489"/>
        <item x="595"/>
        <item x="408"/>
        <item x="518"/>
        <item x="596"/>
        <item x="535"/>
        <item x="536"/>
        <item x="615"/>
        <item x="537"/>
        <item x="292"/>
        <item x="166"/>
        <item x="167"/>
        <item x="293"/>
        <item x="198"/>
        <item x="479"/>
        <item x="199"/>
        <item x="480"/>
        <item x="294"/>
        <item x="295"/>
        <item x="296"/>
        <item x="200"/>
        <item x="374"/>
        <item x="10"/>
        <item x="11"/>
        <item x="495"/>
        <item x="272"/>
        <item x="152"/>
        <item x="459"/>
        <item x="128"/>
        <item x="212"/>
        <item x="38"/>
        <item x="230"/>
        <item x="72"/>
        <item x="73"/>
        <item x="74"/>
        <item x="240"/>
        <item x="241"/>
        <item x="75"/>
        <item x="76"/>
        <item x="242"/>
        <item x="77"/>
        <item x="519"/>
        <item x="597"/>
        <item x="2"/>
        <item x="220"/>
        <item x="221"/>
        <item x="258"/>
        <item x="110"/>
        <item x="441"/>
        <item x="111"/>
        <item x="356"/>
        <item x="579"/>
        <item x="324"/>
        <item x="178"/>
        <item x="259"/>
        <item x="357"/>
        <item x="392"/>
        <item x="260"/>
        <item x="358"/>
        <item x="179"/>
        <item x="442"/>
        <item x="359"/>
        <item x="443"/>
        <item x="444"/>
        <item x="112"/>
        <item x="113"/>
        <item x="325"/>
        <item x="326"/>
        <item x="32"/>
        <item x="417"/>
        <item x="503"/>
        <item x="557"/>
        <item x="558"/>
        <item x="504"/>
        <item x="559"/>
        <item x="560"/>
        <item x="561"/>
        <item x="471"/>
        <item x="398"/>
        <item x="22"/>
        <item x="23"/>
        <item x="188"/>
        <item x="278"/>
        <item x="465"/>
        <item x="338"/>
        <item x="158"/>
        <item x="134"/>
        <item x="48"/>
        <item x="49"/>
        <item x="50"/>
        <item x="382"/>
        <item x="314"/>
        <item x="142"/>
        <item x="425"/>
        <item x="98"/>
        <item x="143"/>
        <item x="344"/>
        <item x="426"/>
        <item x="383"/>
        <item x="598"/>
        <item x="599"/>
        <item x="409"/>
        <item x="520"/>
        <item x="490"/>
        <item x="600"/>
        <item x="410"/>
        <item x="521"/>
        <item x="601"/>
        <item x="538"/>
        <item x="539"/>
        <item x="616"/>
        <item x="540"/>
        <item x="297"/>
        <item x="168"/>
        <item x="169"/>
        <item x="298"/>
        <item x="201"/>
        <item x="481"/>
        <item x="202"/>
        <item x="482"/>
        <item x="299"/>
        <item x="300"/>
        <item x="301"/>
        <item x="203"/>
        <item x="375"/>
        <item x="12"/>
        <item x="13"/>
        <item x="496"/>
        <item x="273"/>
        <item x="153"/>
        <item x="460"/>
        <item x="129"/>
        <item x="213"/>
        <item x="39"/>
        <item x="231"/>
        <item x="78"/>
        <item x="79"/>
        <item x="80"/>
        <item x="243"/>
        <item x="244"/>
        <item x="81"/>
        <item x="82"/>
        <item x="245"/>
        <item x="83"/>
        <item x="522"/>
        <item x="602"/>
        <item x="3"/>
        <item x="222"/>
        <item x="223"/>
        <item x="261"/>
        <item x="114"/>
        <item x="445"/>
        <item x="115"/>
        <item x="360"/>
        <item x="580"/>
        <item x="327"/>
        <item x="180"/>
        <item x="262"/>
        <item x="361"/>
        <item x="393"/>
        <item x="263"/>
        <item x="362"/>
        <item x="181"/>
        <item x="446"/>
        <item x="363"/>
        <item x="447"/>
        <item x="448"/>
        <item x="116"/>
        <item x="117"/>
        <item x="328"/>
        <item x="329"/>
        <item x="33"/>
        <item x="418"/>
        <item x="505"/>
        <item x="562"/>
        <item x="563"/>
        <item x="506"/>
        <item x="564"/>
        <item x="565"/>
        <item x="566"/>
        <item x="472"/>
        <item x="399"/>
        <item x="24"/>
        <item x="25"/>
        <item x="189"/>
        <item x="279"/>
        <item x="466"/>
        <item x="339"/>
        <item x="159"/>
        <item x="135"/>
        <item x="51"/>
        <item x="52"/>
        <item x="53"/>
        <item x="384"/>
        <item x="315"/>
        <item x="144"/>
        <item x="427"/>
        <item x="99"/>
        <item x="145"/>
        <item x="345"/>
        <item x="428"/>
        <item x="385"/>
        <item x="603"/>
        <item x="604"/>
        <item x="411"/>
        <item x="523"/>
        <item x="491"/>
        <item x="605"/>
        <item x="412"/>
        <item x="524"/>
        <item x="606"/>
        <item x="541"/>
        <item x="542"/>
        <item x="617"/>
        <item x="543"/>
        <item x="302"/>
        <item x="170"/>
        <item x="171"/>
        <item x="303"/>
        <item x="204"/>
        <item x="483"/>
        <item x="205"/>
        <item x="484"/>
        <item x="304"/>
        <item x="305"/>
        <item x="306"/>
        <item x="206"/>
        <item x="376"/>
        <item x="14"/>
        <item x="15"/>
        <item x="497"/>
        <item x="274"/>
        <item x="154"/>
        <item x="461"/>
        <item x="130"/>
        <item x="214"/>
        <item x="40"/>
        <item x="232"/>
        <item x="84"/>
        <item x="85"/>
        <item x="86"/>
        <item x="246"/>
        <item x="247"/>
        <item x="87"/>
        <item x="88"/>
        <item x="248"/>
        <item x="89"/>
        <item x="525"/>
        <item x="607"/>
        <item x="4"/>
        <item x="224"/>
        <item x="225"/>
        <item x="264"/>
        <item x="118"/>
        <item x="449"/>
        <item x="119"/>
        <item x="364"/>
        <item x="581"/>
        <item x="330"/>
        <item x="182"/>
        <item x="265"/>
        <item x="365"/>
        <item x="394"/>
        <item x="266"/>
        <item x="366"/>
        <item x="183"/>
        <item x="450"/>
        <item x="367"/>
        <item x="451"/>
        <item x="452"/>
        <item x="120"/>
        <item x="121"/>
        <item x="331"/>
        <item x="332"/>
        <item x="34"/>
        <item x="419"/>
        <item x="507"/>
        <item x="567"/>
        <item x="568"/>
        <item x="508"/>
        <item x="569"/>
        <item x="570"/>
        <item x="571"/>
        <item x="473"/>
        <item x="400"/>
        <item x="26"/>
        <item x="27"/>
        <item x="190"/>
        <item x="280"/>
        <item x="467"/>
        <item x="340"/>
        <item x="160"/>
        <item x="136"/>
        <item x="54"/>
        <item x="55"/>
        <item x="56"/>
        <item x="386"/>
        <item x="316"/>
        <item x="146"/>
        <item x="429"/>
        <item x="100"/>
        <item x="147"/>
        <item x="346"/>
        <item x="430"/>
        <item x="387"/>
        <item x="608"/>
        <item x="609"/>
        <item x="413"/>
        <item x="526"/>
        <item x="492"/>
        <item x="610"/>
        <item x="414"/>
        <item x="527"/>
        <item x="611"/>
        <item x="544"/>
        <item x="545"/>
        <item x="618"/>
        <item x="546"/>
        <item x="307"/>
        <item x="172"/>
        <item x="173"/>
        <item x="308"/>
        <item x="207"/>
        <item x="485"/>
        <item x="208"/>
        <item x="486"/>
        <item x="309"/>
        <item x="310"/>
        <item x="311"/>
        <item x="209"/>
        <item x="377"/>
        <item x="16"/>
        <item x="17"/>
        <item x="498"/>
        <item x="275"/>
        <item x="155"/>
        <item x="462"/>
        <item x="131"/>
        <item x="215"/>
        <item x="41"/>
        <item x="233"/>
        <item x="90"/>
        <item x="91"/>
        <item x="92"/>
        <item x="249"/>
        <item x="250"/>
        <item x="93"/>
        <item x="94"/>
        <item x="251"/>
        <item x="95"/>
        <item x="528"/>
        <item x="612"/>
        <item x="5"/>
        <item x="226"/>
        <item x="227"/>
        <item x="267"/>
        <item x="122"/>
        <item x="453"/>
        <item x="123"/>
        <item x="368"/>
        <item x="582"/>
        <item x="333"/>
        <item x="184"/>
        <item x="268"/>
        <item x="369"/>
        <item x="395"/>
        <item x="269"/>
        <item x="370"/>
        <item x="185"/>
        <item x="454"/>
        <item x="371"/>
        <item x="455"/>
        <item x="456"/>
        <item x="124"/>
        <item x="125"/>
        <item x="334"/>
        <item x="335"/>
        <item x="35"/>
        <item x="420"/>
        <item x="509"/>
        <item x="572"/>
        <item x="573"/>
        <item x="510"/>
        <item x="574"/>
        <item x="575"/>
        <item x="576"/>
        <item x="474"/>
        <item x="401"/>
        <item x="28"/>
        <item x="29"/>
        <item x="191"/>
        <item x="281"/>
        <item x="468"/>
        <item x="341"/>
        <item x="161"/>
        <item x="137"/>
        <item x="57"/>
        <item x="58"/>
        <item x="59"/>
        <item x="388"/>
        <item x="317"/>
        <item x="148"/>
        <item x="431"/>
        <item x="101"/>
        <item x="149"/>
        <item x="347"/>
        <item x="432"/>
        <item x="389"/>
        <item t="default"/>
      </items>
    </pivotField>
    <pivotField numFmtId="167" showAll="0"/>
    <pivotField numFmtId="168" showAll="0"/>
    <pivotField showAll="0">
      <items count="31">
        <item x="0"/>
        <item x="4"/>
        <item x="17"/>
        <item x="1"/>
        <item x="7"/>
        <item x="20"/>
        <item x="23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15"/>
        <item x="22"/>
        <item x="25"/>
        <item x="26"/>
        <item x="14"/>
        <item x="27"/>
        <item t="default"/>
      </items>
    </pivotField>
    <pivotField numFmtId="169" showAll="0"/>
    <pivotField axis="axisRow" showAll="0">
      <items count="8">
        <item x="1"/>
        <item x="5"/>
        <item x="3"/>
        <item x="6"/>
        <item x="0"/>
        <item x="4"/>
        <item x="2"/>
        <item t="default"/>
      </items>
    </pivotField>
    <pivotField showAll="0"/>
    <pivotField dataField="1" showAll="0"/>
    <pivotField numFmtId="3" showAll="0"/>
    <pivotField numFmtId="3"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plam Adet" fld="10" baseField="0" baseItem="0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Değerler" updatedVersion="7" minRefreshableVersion="5" useAutoFormatting="1" itemPrintTitles="1" createdVersion="6" indent="0" outline="1" outlineData="1" multipleFieldFilters="0" chartFormat="4">
  <location ref="G3:H7" firstHeaderRow="1" firstDataRow="1" firstDataCol="1"/>
  <pivotFields count="14">
    <pivotField numFmtId="165" showAll="0"/>
    <pivotField showAll="0"/>
    <pivotField showAll="0">
      <items count="8">
        <item x="0"/>
        <item x="3"/>
        <item x="4"/>
        <item x="5"/>
        <item x="2"/>
        <item x="6"/>
        <item x="1"/>
        <item t="default"/>
      </items>
    </pivotField>
    <pivotField numFmtId="14" showAll="0">
      <items count="620">
        <item x="402"/>
        <item x="583"/>
        <item x="584"/>
        <item x="403"/>
        <item x="511"/>
        <item x="487"/>
        <item x="585"/>
        <item x="404"/>
        <item x="512"/>
        <item x="586"/>
        <item x="529"/>
        <item x="530"/>
        <item x="613"/>
        <item x="531"/>
        <item x="282"/>
        <item x="162"/>
        <item x="163"/>
        <item x="283"/>
        <item x="192"/>
        <item x="475"/>
        <item x="193"/>
        <item x="476"/>
        <item x="284"/>
        <item x="285"/>
        <item x="286"/>
        <item x="194"/>
        <item x="372"/>
        <item x="6"/>
        <item x="7"/>
        <item x="493"/>
        <item x="270"/>
        <item x="150"/>
        <item x="457"/>
        <item x="126"/>
        <item x="210"/>
        <item x="36"/>
        <item x="228"/>
        <item x="60"/>
        <item x="61"/>
        <item x="62"/>
        <item x="234"/>
        <item x="235"/>
        <item x="63"/>
        <item x="64"/>
        <item x="236"/>
        <item x="65"/>
        <item x="513"/>
        <item x="587"/>
        <item x="0"/>
        <item x="216"/>
        <item x="217"/>
        <item x="252"/>
        <item x="102"/>
        <item x="433"/>
        <item x="103"/>
        <item x="348"/>
        <item x="577"/>
        <item x="318"/>
        <item x="174"/>
        <item x="253"/>
        <item x="349"/>
        <item x="390"/>
        <item x="254"/>
        <item x="350"/>
        <item x="175"/>
        <item x="434"/>
        <item x="351"/>
        <item x="435"/>
        <item x="436"/>
        <item x="104"/>
        <item x="105"/>
        <item x="319"/>
        <item x="320"/>
        <item x="30"/>
        <item x="415"/>
        <item x="499"/>
        <item x="547"/>
        <item x="548"/>
        <item x="500"/>
        <item x="549"/>
        <item x="550"/>
        <item x="551"/>
        <item x="469"/>
        <item x="396"/>
        <item x="18"/>
        <item x="19"/>
        <item x="186"/>
        <item x="276"/>
        <item x="463"/>
        <item x="336"/>
        <item x="156"/>
        <item x="132"/>
        <item x="42"/>
        <item x="43"/>
        <item x="44"/>
        <item x="378"/>
        <item x="312"/>
        <item x="138"/>
        <item x="421"/>
        <item x="96"/>
        <item x="139"/>
        <item x="342"/>
        <item x="422"/>
        <item x="379"/>
        <item x="588"/>
        <item x="589"/>
        <item x="405"/>
        <item x="514"/>
        <item x="488"/>
        <item x="590"/>
        <item x="406"/>
        <item x="515"/>
        <item x="591"/>
        <item x="532"/>
        <item x="533"/>
        <item x="614"/>
        <item x="534"/>
        <item x="287"/>
        <item x="164"/>
        <item x="165"/>
        <item x="288"/>
        <item x="195"/>
        <item x="477"/>
        <item x="196"/>
        <item x="478"/>
        <item x="289"/>
        <item x="290"/>
        <item x="291"/>
        <item x="197"/>
        <item x="373"/>
        <item x="8"/>
        <item x="9"/>
        <item x="494"/>
        <item x="271"/>
        <item x="151"/>
        <item x="458"/>
        <item x="127"/>
        <item x="211"/>
        <item x="37"/>
        <item x="229"/>
        <item x="66"/>
        <item x="67"/>
        <item x="68"/>
        <item x="237"/>
        <item x="238"/>
        <item x="69"/>
        <item x="70"/>
        <item x="239"/>
        <item x="71"/>
        <item x="516"/>
        <item x="592"/>
        <item x="1"/>
        <item x="218"/>
        <item x="219"/>
        <item x="255"/>
        <item x="106"/>
        <item x="437"/>
        <item x="107"/>
        <item x="352"/>
        <item x="578"/>
        <item x="321"/>
        <item x="176"/>
        <item x="256"/>
        <item x="353"/>
        <item x="391"/>
        <item x="257"/>
        <item x="354"/>
        <item x="177"/>
        <item x="438"/>
        <item x="355"/>
        <item x="439"/>
        <item x="440"/>
        <item x="108"/>
        <item x="109"/>
        <item x="322"/>
        <item x="323"/>
        <item x="31"/>
        <item x="416"/>
        <item x="501"/>
        <item x="552"/>
        <item x="553"/>
        <item x="502"/>
        <item x="554"/>
        <item x="555"/>
        <item x="556"/>
        <item x="470"/>
        <item x="397"/>
        <item x="20"/>
        <item x="21"/>
        <item x="187"/>
        <item x="277"/>
        <item x="464"/>
        <item x="337"/>
        <item x="157"/>
        <item x="133"/>
        <item x="45"/>
        <item x="46"/>
        <item x="47"/>
        <item x="380"/>
        <item x="313"/>
        <item x="140"/>
        <item x="423"/>
        <item x="97"/>
        <item x="141"/>
        <item x="343"/>
        <item x="424"/>
        <item x="381"/>
        <item x="593"/>
        <item x="594"/>
        <item x="407"/>
        <item x="517"/>
        <item x="489"/>
        <item x="595"/>
        <item x="408"/>
        <item x="518"/>
        <item x="596"/>
        <item x="535"/>
        <item x="536"/>
        <item x="615"/>
        <item x="537"/>
        <item x="292"/>
        <item x="166"/>
        <item x="167"/>
        <item x="293"/>
        <item x="198"/>
        <item x="479"/>
        <item x="199"/>
        <item x="480"/>
        <item x="294"/>
        <item x="295"/>
        <item x="296"/>
        <item x="200"/>
        <item x="374"/>
        <item x="10"/>
        <item x="11"/>
        <item x="495"/>
        <item x="272"/>
        <item x="152"/>
        <item x="459"/>
        <item x="128"/>
        <item x="212"/>
        <item x="38"/>
        <item x="230"/>
        <item x="72"/>
        <item x="73"/>
        <item x="74"/>
        <item x="240"/>
        <item x="241"/>
        <item x="75"/>
        <item x="76"/>
        <item x="242"/>
        <item x="77"/>
        <item x="519"/>
        <item x="597"/>
        <item x="2"/>
        <item x="220"/>
        <item x="221"/>
        <item x="258"/>
        <item x="110"/>
        <item x="441"/>
        <item x="111"/>
        <item x="356"/>
        <item x="579"/>
        <item x="324"/>
        <item x="178"/>
        <item x="259"/>
        <item x="357"/>
        <item x="392"/>
        <item x="260"/>
        <item x="358"/>
        <item x="179"/>
        <item x="442"/>
        <item x="359"/>
        <item x="443"/>
        <item x="444"/>
        <item x="112"/>
        <item x="113"/>
        <item x="325"/>
        <item x="326"/>
        <item x="32"/>
        <item x="417"/>
        <item x="503"/>
        <item x="557"/>
        <item x="558"/>
        <item x="504"/>
        <item x="559"/>
        <item x="560"/>
        <item x="561"/>
        <item x="471"/>
        <item x="398"/>
        <item x="22"/>
        <item x="23"/>
        <item x="188"/>
        <item x="278"/>
        <item x="465"/>
        <item x="338"/>
        <item x="158"/>
        <item x="134"/>
        <item x="48"/>
        <item x="49"/>
        <item x="50"/>
        <item x="382"/>
        <item x="314"/>
        <item x="142"/>
        <item x="425"/>
        <item x="98"/>
        <item x="143"/>
        <item x="344"/>
        <item x="426"/>
        <item x="383"/>
        <item x="598"/>
        <item x="599"/>
        <item x="409"/>
        <item x="520"/>
        <item x="490"/>
        <item x="600"/>
        <item x="410"/>
        <item x="521"/>
        <item x="601"/>
        <item x="538"/>
        <item x="539"/>
        <item x="616"/>
        <item x="540"/>
        <item x="297"/>
        <item x="168"/>
        <item x="169"/>
        <item x="298"/>
        <item x="201"/>
        <item x="481"/>
        <item x="202"/>
        <item x="482"/>
        <item x="299"/>
        <item x="300"/>
        <item x="301"/>
        <item x="203"/>
        <item x="375"/>
        <item x="12"/>
        <item x="13"/>
        <item x="496"/>
        <item x="273"/>
        <item x="153"/>
        <item x="460"/>
        <item x="129"/>
        <item x="213"/>
        <item x="39"/>
        <item x="231"/>
        <item x="78"/>
        <item x="79"/>
        <item x="80"/>
        <item x="243"/>
        <item x="244"/>
        <item x="81"/>
        <item x="82"/>
        <item x="245"/>
        <item x="83"/>
        <item x="522"/>
        <item x="602"/>
        <item x="3"/>
        <item x="222"/>
        <item x="223"/>
        <item x="261"/>
        <item x="114"/>
        <item x="445"/>
        <item x="115"/>
        <item x="360"/>
        <item x="580"/>
        <item x="327"/>
        <item x="180"/>
        <item x="262"/>
        <item x="361"/>
        <item x="393"/>
        <item x="263"/>
        <item x="362"/>
        <item x="181"/>
        <item x="446"/>
        <item x="363"/>
        <item x="447"/>
        <item x="448"/>
        <item x="116"/>
        <item x="117"/>
        <item x="328"/>
        <item x="329"/>
        <item x="33"/>
        <item x="418"/>
        <item x="505"/>
        <item x="562"/>
        <item x="563"/>
        <item x="506"/>
        <item x="564"/>
        <item x="565"/>
        <item x="566"/>
        <item x="472"/>
        <item x="399"/>
        <item x="24"/>
        <item x="25"/>
        <item x="189"/>
        <item x="279"/>
        <item x="466"/>
        <item x="339"/>
        <item x="159"/>
        <item x="135"/>
        <item x="51"/>
        <item x="52"/>
        <item x="53"/>
        <item x="384"/>
        <item x="315"/>
        <item x="144"/>
        <item x="427"/>
        <item x="99"/>
        <item x="145"/>
        <item x="345"/>
        <item x="428"/>
        <item x="385"/>
        <item x="603"/>
        <item x="604"/>
        <item x="411"/>
        <item x="523"/>
        <item x="491"/>
        <item x="605"/>
        <item x="412"/>
        <item x="524"/>
        <item x="606"/>
        <item x="541"/>
        <item x="542"/>
        <item x="617"/>
        <item x="543"/>
        <item x="302"/>
        <item x="170"/>
        <item x="171"/>
        <item x="303"/>
        <item x="204"/>
        <item x="483"/>
        <item x="205"/>
        <item x="484"/>
        <item x="304"/>
        <item x="305"/>
        <item x="306"/>
        <item x="206"/>
        <item x="376"/>
        <item x="14"/>
        <item x="15"/>
        <item x="497"/>
        <item x="274"/>
        <item x="154"/>
        <item x="461"/>
        <item x="130"/>
        <item x="214"/>
        <item x="40"/>
        <item x="232"/>
        <item x="84"/>
        <item x="85"/>
        <item x="86"/>
        <item x="246"/>
        <item x="247"/>
        <item x="87"/>
        <item x="88"/>
        <item x="248"/>
        <item x="89"/>
        <item x="525"/>
        <item x="607"/>
        <item x="4"/>
        <item x="224"/>
        <item x="225"/>
        <item x="264"/>
        <item x="118"/>
        <item x="449"/>
        <item x="119"/>
        <item x="364"/>
        <item x="581"/>
        <item x="330"/>
        <item x="182"/>
        <item x="265"/>
        <item x="365"/>
        <item x="394"/>
        <item x="266"/>
        <item x="366"/>
        <item x="183"/>
        <item x="450"/>
        <item x="367"/>
        <item x="451"/>
        <item x="452"/>
        <item x="120"/>
        <item x="121"/>
        <item x="331"/>
        <item x="332"/>
        <item x="34"/>
        <item x="419"/>
        <item x="507"/>
        <item x="567"/>
        <item x="568"/>
        <item x="508"/>
        <item x="569"/>
        <item x="570"/>
        <item x="571"/>
        <item x="473"/>
        <item x="400"/>
        <item x="26"/>
        <item x="27"/>
        <item x="190"/>
        <item x="280"/>
        <item x="467"/>
        <item x="340"/>
        <item x="160"/>
        <item x="136"/>
        <item x="54"/>
        <item x="55"/>
        <item x="56"/>
        <item x="386"/>
        <item x="316"/>
        <item x="146"/>
        <item x="429"/>
        <item x="100"/>
        <item x="147"/>
        <item x="346"/>
        <item x="430"/>
        <item x="387"/>
        <item x="608"/>
        <item x="609"/>
        <item x="413"/>
        <item x="526"/>
        <item x="492"/>
        <item x="610"/>
        <item x="414"/>
        <item x="527"/>
        <item x="611"/>
        <item x="544"/>
        <item x="545"/>
        <item x="618"/>
        <item x="546"/>
        <item x="307"/>
        <item x="172"/>
        <item x="173"/>
        <item x="308"/>
        <item x="207"/>
        <item x="485"/>
        <item x="208"/>
        <item x="486"/>
        <item x="309"/>
        <item x="310"/>
        <item x="311"/>
        <item x="209"/>
        <item x="377"/>
        <item x="16"/>
        <item x="17"/>
        <item x="498"/>
        <item x="275"/>
        <item x="155"/>
        <item x="462"/>
        <item x="131"/>
        <item x="215"/>
        <item x="41"/>
        <item x="233"/>
        <item x="90"/>
        <item x="91"/>
        <item x="92"/>
        <item x="249"/>
        <item x="250"/>
        <item x="93"/>
        <item x="94"/>
        <item x="251"/>
        <item x="95"/>
        <item x="528"/>
        <item x="612"/>
        <item x="5"/>
        <item x="226"/>
        <item x="227"/>
        <item x="267"/>
        <item x="122"/>
        <item x="453"/>
        <item x="123"/>
        <item x="368"/>
        <item x="582"/>
        <item x="333"/>
        <item x="184"/>
        <item x="268"/>
        <item x="369"/>
        <item x="395"/>
        <item x="269"/>
        <item x="370"/>
        <item x="185"/>
        <item x="454"/>
        <item x="371"/>
        <item x="455"/>
        <item x="456"/>
        <item x="124"/>
        <item x="125"/>
        <item x="334"/>
        <item x="335"/>
        <item x="35"/>
        <item x="420"/>
        <item x="509"/>
        <item x="572"/>
        <item x="573"/>
        <item x="510"/>
        <item x="574"/>
        <item x="575"/>
        <item x="576"/>
        <item x="474"/>
        <item x="401"/>
        <item x="28"/>
        <item x="29"/>
        <item x="191"/>
        <item x="281"/>
        <item x="468"/>
        <item x="341"/>
        <item x="161"/>
        <item x="137"/>
        <item x="57"/>
        <item x="58"/>
        <item x="59"/>
        <item x="388"/>
        <item x="317"/>
        <item x="148"/>
        <item x="431"/>
        <item x="101"/>
        <item x="149"/>
        <item x="347"/>
        <item x="432"/>
        <item x="389"/>
        <item t="default"/>
      </items>
    </pivotField>
    <pivotField numFmtId="167" showAll="0"/>
    <pivotField numFmtId="168" showAll="0"/>
    <pivotField showAll="0">
      <items count="31">
        <item x="0"/>
        <item x="4"/>
        <item x="17"/>
        <item x="1"/>
        <item x="7"/>
        <item x="20"/>
        <item x="23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15"/>
        <item x="22"/>
        <item x="25"/>
        <item x="26"/>
        <item x="14"/>
        <item x="27"/>
        <item t="default"/>
      </items>
    </pivotField>
    <pivotField numFmtId="169" showAll="0"/>
    <pivotField showAll="0"/>
    <pivotField showAll="0">
      <items count="4">
        <item x="0"/>
        <item x="1"/>
        <item x="2"/>
        <item t="default"/>
      </items>
    </pivotField>
    <pivotField dataField="1" showAll="0"/>
    <pivotField numFmtId="3" showAll="0"/>
    <pivotField numFmtId="3" showAll="0"/>
    <pivotField axis="axisRow" showAll="0">
      <items count="4">
        <item x="0"/>
        <item x="2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Adet" fld="10" baseField="0" baseItem="0"/>
  </dataFields>
  <chartFormats count="2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0" applyNumberFormats="0" applyBorderFormats="0" applyFontFormats="0" applyPatternFormats="0" applyAlignmentFormats="0" applyWidthHeightFormats="1" dataCaption="Değerler" updatedVersion="7" minRefreshableVersion="5" useAutoFormatting="1" itemPrintTitles="1" createdVersion="6" indent="0" outline="1" outlineData="1" multipleFieldFilters="0" chartFormat="3">
  <location ref="M2:N25" firstHeaderRow="1" firstDataRow="1" firstDataCol="1"/>
  <pivotFields count="14">
    <pivotField numFmtId="165" showAll="0"/>
    <pivotField axis="axisRow" showAll="0">
      <items count="23">
        <item x="0"/>
        <item x="7"/>
        <item x="8"/>
        <item x="16"/>
        <item x="13"/>
        <item x="17"/>
        <item x="11"/>
        <item x="18"/>
        <item x="9"/>
        <item x="10"/>
        <item x="21"/>
        <item x="1"/>
        <item x="15"/>
        <item x="12"/>
        <item x="2"/>
        <item x="3"/>
        <item x="14"/>
        <item x="4"/>
        <item x="19"/>
        <item x="5"/>
        <item x="20"/>
        <item x="6"/>
        <item t="default"/>
      </items>
    </pivotField>
    <pivotField showAll="0">
      <items count="8">
        <item x="0"/>
        <item x="3"/>
        <item x="4"/>
        <item x="5"/>
        <item x="2"/>
        <item x="6"/>
        <item x="1"/>
        <item t="default"/>
      </items>
    </pivotField>
    <pivotField numFmtId="14" showAll="0">
      <items count="620">
        <item x="402"/>
        <item x="583"/>
        <item x="584"/>
        <item x="403"/>
        <item x="511"/>
        <item x="487"/>
        <item x="585"/>
        <item x="404"/>
        <item x="512"/>
        <item x="586"/>
        <item x="529"/>
        <item x="530"/>
        <item x="613"/>
        <item x="531"/>
        <item x="282"/>
        <item x="162"/>
        <item x="163"/>
        <item x="283"/>
        <item x="192"/>
        <item x="475"/>
        <item x="193"/>
        <item x="476"/>
        <item x="284"/>
        <item x="285"/>
        <item x="286"/>
        <item x="194"/>
        <item x="372"/>
        <item x="6"/>
        <item x="7"/>
        <item x="493"/>
        <item x="270"/>
        <item x="150"/>
        <item x="457"/>
        <item x="126"/>
        <item x="210"/>
        <item x="36"/>
        <item x="228"/>
        <item x="60"/>
        <item x="61"/>
        <item x="62"/>
        <item x="234"/>
        <item x="235"/>
        <item x="63"/>
        <item x="64"/>
        <item x="236"/>
        <item x="65"/>
        <item x="513"/>
        <item x="587"/>
        <item x="0"/>
        <item x="216"/>
        <item x="217"/>
        <item x="252"/>
        <item x="102"/>
        <item x="433"/>
        <item x="103"/>
        <item x="348"/>
        <item x="577"/>
        <item x="318"/>
        <item x="174"/>
        <item x="253"/>
        <item x="349"/>
        <item x="390"/>
        <item x="254"/>
        <item x="350"/>
        <item x="175"/>
        <item x="434"/>
        <item x="351"/>
        <item x="435"/>
        <item x="436"/>
        <item x="104"/>
        <item x="105"/>
        <item x="319"/>
        <item x="320"/>
        <item x="30"/>
        <item x="415"/>
        <item x="499"/>
        <item x="547"/>
        <item x="548"/>
        <item x="500"/>
        <item x="549"/>
        <item x="550"/>
        <item x="551"/>
        <item x="469"/>
        <item x="396"/>
        <item x="18"/>
        <item x="19"/>
        <item x="186"/>
        <item x="276"/>
        <item x="463"/>
        <item x="336"/>
        <item x="156"/>
        <item x="132"/>
        <item x="42"/>
        <item x="43"/>
        <item x="44"/>
        <item x="378"/>
        <item x="312"/>
        <item x="138"/>
        <item x="421"/>
        <item x="96"/>
        <item x="139"/>
        <item x="342"/>
        <item x="422"/>
        <item x="379"/>
        <item x="588"/>
        <item x="589"/>
        <item x="405"/>
        <item x="514"/>
        <item x="488"/>
        <item x="590"/>
        <item x="406"/>
        <item x="515"/>
        <item x="591"/>
        <item x="532"/>
        <item x="533"/>
        <item x="614"/>
        <item x="534"/>
        <item x="287"/>
        <item x="164"/>
        <item x="165"/>
        <item x="288"/>
        <item x="195"/>
        <item x="477"/>
        <item x="196"/>
        <item x="478"/>
        <item x="289"/>
        <item x="290"/>
        <item x="291"/>
        <item x="197"/>
        <item x="373"/>
        <item x="8"/>
        <item x="9"/>
        <item x="494"/>
        <item x="271"/>
        <item x="151"/>
        <item x="458"/>
        <item x="127"/>
        <item x="211"/>
        <item x="37"/>
        <item x="229"/>
        <item x="66"/>
        <item x="67"/>
        <item x="68"/>
        <item x="237"/>
        <item x="238"/>
        <item x="69"/>
        <item x="70"/>
        <item x="239"/>
        <item x="71"/>
        <item x="516"/>
        <item x="592"/>
        <item x="1"/>
        <item x="218"/>
        <item x="219"/>
        <item x="255"/>
        <item x="106"/>
        <item x="437"/>
        <item x="107"/>
        <item x="352"/>
        <item x="578"/>
        <item x="321"/>
        <item x="176"/>
        <item x="256"/>
        <item x="353"/>
        <item x="391"/>
        <item x="257"/>
        <item x="354"/>
        <item x="177"/>
        <item x="438"/>
        <item x="355"/>
        <item x="439"/>
        <item x="440"/>
        <item x="108"/>
        <item x="109"/>
        <item x="322"/>
        <item x="323"/>
        <item x="31"/>
        <item x="416"/>
        <item x="501"/>
        <item x="552"/>
        <item x="553"/>
        <item x="502"/>
        <item x="554"/>
        <item x="555"/>
        <item x="556"/>
        <item x="470"/>
        <item x="397"/>
        <item x="20"/>
        <item x="21"/>
        <item x="187"/>
        <item x="277"/>
        <item x="464"/>
        <item x="337"/>
        <item x="157"/>
        <item x="133"/>
        <item x="45"/>
        <item x="46"/>
        <item x="47"/>
        <item x="380"/>
        <item x="313"/>
        <item x="140"/>
        <item x="423"/>
        <item x="97"/>
        <item x="141"/>
        <item x="343"/>
        <item x="424"/>
        <item x="381"/>
        <item x="593"/>
        <item x="594"/>
        <item x="407"/>
        <item x="517"/>
        <item x="489"/>
        <item x="595"/>
        <item x="408"/>
        <item x="518"/>
        <item x="596"/>
        <item x="535"/>
        <item x="536"/>
        <item x="615"/>
        <item x="537"/>
        <item x="292"/>
        <item x="166"/>
        <item x="167"/>
        <item x="293"/>
        <item x="198"/>
        <item x="479"/>
        <item x="199"/>
        <item x="480"/>
        <item x="294"/>
        <item x="295"/>
        <item x="296"/>
        <item x="200"/>
        <item x="374"/>
        <item x="10"/>
        <item x="11"/>
        <item x="495"/>
        <item x="272"/>
        <item x="152"/>
        <item x="459"/>
        <item x="128"/>
        <item x="212"/>
        <item x="38"/>
        <item x="230"/>
        <item x="72"/>
        <item x="73"/>
        <item x="74"/>
        <item x="240"/>
        <item x="241"/>
        <item x="75"/>
        <item x="76"/>
        <item x="242"/>
        <item x="77"/>
        <item x="519"/>
        <item x="597"/>
        <item x="2"/>
        <item x="220"/>
        <item x="221"/>
        <item x="258"/>
        <item x="110"/>
        <item x="441"/>
        <item x="111"/>
        <item x="356"/>
        <item x="579"/>
        <item x="324"/>
        <item x="178"/>
        <item x="259"/>
        <item x="357"/>
        <item x="392"/>
        <item x="260"/>
        <item x="358"/>
        <item x="179"/>
        <item x="442"/>
        <item x="359"/>
        <item x="443"/>
        <item x="444"/>
        <item x="112"/>
        <item x="113"/>
        <item x="325"/>
        <item x="326"/>
        <item x="32"/>
        <item x="417"/>
        <item x="503"/>
        <item x="557"/>
        <item x="558"/>
        <item x="504"/>
        <item x="559"/>
        <item x="560"/>
        <item x="561"/>
        <item x="471"/>
        <item x="398"/>
        <item x="22"/>
        <item x="23"/>
        <item x="188"/>
        <item x="278"/>
        <item x="465"/>
        <item x="338"/>
        <item x="158"/>
        <item x="134"/>
        <item x="48"/>
        <item x="49"/>
        <item x="50"/>
        <item x="382"/>
        <item x="314"/>
        <item x="142"/>
        <item x="425"/>
        <item x="98"/>
        <item x="143"/>
        <item x="344"/>
        <item x="426"/>
        <item x="383"/>
        <item x="598"/>
        <item x="599"/>
        <item x="409"/>
        <item x="520"/>
        <item x="490"/>
        <item x="600"/>
        <item x="410"/>
        <item x="521"/>
        <item x="601"/>
        <item x="538"/>
        <item x="539"/>
        <item x="616"/>
        <item x="540"/>
        <item x="297"/>
        <item x="168"/>
        <item x="169"/>
        <item x="298"/>
        <item x="201"/>
        <item x="481"/>
        <item x="202"/>
        <item x="482"/>
        <item x="299"/>
        <item x="300"/>
        <item x="301"/>
        <item x="203"/>
        <item x="375"/>
        <item x="12"/>
        <item x="13"/>
        <item x="496"/>
        <item x="273"/>
        <item x="153"/>
        <item x="460"/>
        <item x="129"/>
        <item x="213"/>
        <item x="39"/>
        <item x="231"/>
        <item x="78"/>
        <item x="79"/>
        <item x="80"/>
        <item x="243"/>
        <item x="244"/>
        <item x="81"/>
        <item x="82"/>
        <item x="245"/>
        <item x="83"/>
        <item x="522"/>
        <item x="602"/>
        <item x="3"/>
        <item x="222"/>
        <item x="223"/>
        <item x="261"/>
        <item x="114"/>
        <item x="445"/>
        <item x="115"/>
        <item x="360"/>
        <item x="580"/>
        <item x="327"/>
        <item x="180"/>
        <item x="262"/>
        <item x="361"/>
        <item x="393"/>
        <item x="263"/>
        <item x="362"/>
        <item x="181"/>
        <item x="446"/>
        <item x="363"/>
        <item x="447"/>
        <item x="448"/>
        <item x="116"/>
        <item x="117"/>
        <item x="328"/>
        <item x="329"/>
        <item x="33"/>
        <item x="418"/>
        <item x="505"/>
        <item x="562"/>
        <item x="563"/>
        <item x="506"/>
        <item x="564"/>
        <item x="565"/>
        <item x="566"/>
        <item x="472"/>
        <item x="399"/>
        <item x="24"/>
        <item x="25"/>
        <item x="189"/>
        <item x="279"/>
        <item x="466"/>
        <item x="339"/>
        <item x="159"/>
        <item x="135"/>
        <item x="51"/>
        <item x="52"/>
        <item x="53"/>
        <item x="384"/>
        <item x="315"/>
        <item x="144"/>
        <item x="427"/>
        <item x="99"/>
        <item x="145"/>
        <item x="345"/>
        <item x="428"/>
        <item x="385"/>
        <item x="603"/>
        <item x="604"/>
        <item x="411"/>
        <item x="523"/>
        <item x="491"/>
        <item x="605"/>
        <item x="412"/>
        <item x="524"/>
        <item x="606"/>
        <item x="541"/>
        <item x="542"/>
        <item x="617"/>
        <item x="543"/>
        <item x="302"/>
        <item x="170"/>
        <item x="171"/>
        <item x="303"/>
        <item x="204"/>
        <item x="483"/>
        <item x="205"/>
        <item x="484"/>
        <item x="304"/>
        <item x="305"/>
        <item x="306"/>
        <item x="206"/>
        <item x="376"/>
        <item x="14"/>
        <item x="15"/>
        <item x="497"/>
        <item x="274"/>
        <item x="154"/>
        <item x="461"/>
        <item x="130"/>
        <item x="214"/>
        <item x="40"/>
        <item x="232"/>
        <item x="84"/>
        <item x="85"/>
        <item x="86"/>
        <item x="246"/>
        <item x="247"/>
        <item x="87"/>
        <item x="88"/>
        <item x="248"/>
        <item x="89"/>
        <item x="525"/>
        <item x="607"/>
        <item x="4"/>
        <item x="224"/>
        <item x="225"/>
        <item x="264"/>
        <item x="118"/>
        <item x="449"/>
        <item x="119"/>
        <item x="364"/>
        <item x="581"/>
        <item x="330"/>
        <item x="182"/>
        <item x="265"/>
        <item x="365"/>
        <item x="394"/>
        <item x="266"/>
        <item x="366"/>
        <item x="183"/>
        <item x="450"/>
        <item x="367"/>
        <item x="451"/>
        <item x="452"/>
        <item x="120"/>
        <item x="121"/>
        <item x="331"/>
        <item x="332"/>
        <item x="34"/>
        <item x="419"/>
        <item x="507"/>
        <item x="567"/>
        <item x="568"/>
        <item x="508"/>
        <item x="569"/>
        <item x="570"/>
        <item x="571"/>
        <item x="473"/>
        <item x="400"/>
        <item x="26"/>
        <item x="27"/>
        <item x="190"/>
        <item x="280"/>
        <item x="467"/>
        <item x="340"/>
        <item x="160"/>
        <item x="136"/>
        <item x="54"/>
        <item x="55"/>
        <item x="56"/>
        <item x="386"/>
        <item x="316"/>
        <item x="146"/>
        <item x="429"/>
        <item x="100"/>
        <item x="147"/>
        <item x="346"/>
        <item x="430"/>
        <item x="387"/>
        <item x="608"/>
        <item x="609"/>
        <item x="413"/>
        <item x="526"/>
        <item x="492"/>
        <item x="610"/>
        <item x="414"/>
        <item x="527"/>
        <item x="611"/>
        <item x="544"/>
        <item x="545"/>
        <item x="618"/>
        <item x="546"/>
        <item x="307"/>
        <item x="172"/>
        <item x="173"/>
        <item x="308"/>
        <item x="207"/>
        <item x="485"/>
        <item x="208"/>
        <item x="486"/>
        <item x="309"/>
        <item x="310"/>
        <item x="311"/>
        <item x="209"/>
        <item x="377"/>
        <item x="16"/>
        <item x="17"/>
        <item x="498"/>
        <item x="275"/>
        <item x="155"/>
        <item x="462"/>
        <item x="131"/>
        <item x="215"/>
        <item x="41"/>
        <item x="233"/>
        <item x="90"/>
        <item x="91"/>
        <item x="92"/>
        <item x="249"/>
        <item x="250"/>
        <item x="93"/>
        <item x="94"/>
        <item x="251"/>
        <item x="95"/>
        <item x="528"/>
        <item x="612"/>
        <item x="5"/>
        <item x="226"/>
        <item x="227"/>
        <item x="267"/>
        <item x="122"/>
        <item x="453"/>
        <item x="123"/>
        <item x="368"/>
        <item x="582"/>
        <item x="333"/>
        <item x="184"/>
        <item x="268"/>
        <item x="369"/>
        <item x="395"/>
        <item x="269"/>
        <item x="370"/>
        <item x="185"/>
        <item x="454"/>
        <item x="371"/>
        <item x="455"/>
        <item x="456"/>
        <item x="124"/>
        <item x="125"/>
        <item x="334"/>
        <item x="335"/>
        <item x="35"/>
        <item x="420"/>
        <item x="509"/>
        <item x="572"/>
        <item x="573"/>
        <item x="510"/>
        <item x="574"/>
        <item x="575"/>
        <item x="576"/>
        <item x="474"/>
        <item x="401"/>
        <item x="28"/>
        <item x="29"/>
        <item x="191"/>
        <item x="281"/>
        <item x="468"/>
        <item x="341"/>
        <item x="161"/>
        <item x="137"/>
        <item x="57"/>
        <item x="58"/>
        <item x="59"/>
        <item x="388"/>
        <item x="317"/>
        <item x="148"/>
        <item x="431"/>
        <item x="101"/>
        <item x="149"/>
        <item x="347"/>
        <item x="432"/>
        <item x="389"/>
        <item t="default"/>
      </items>
    </pivotField>
    <pivotField dataField="1" numFmtId="167" showAll="0"/>
    <pivotField numFmtId="168" showAll="0"/>
    <pivotField showAll="0">
      <items count="31">
        <item x="0"/>
        <item x="4"/>
        <item x="17"/>
        <item x="1"/>
        <item x="7"/>
        <item x="23"/>
        <item x="20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15"/>
        <item x="22"/>
        <item x="25"/>
        <item x="26"/>
        <item x="14"/>
        <item x="27"/>
        <item t="default"/>
      </items>
    </pivotField>
    <pivotField numFmtId="169" showAll="0"/>
    <pivotField showAll="0"/>
    <pivotField showAll="0"/>
    <pivotField showAll="0"/>
    <pivotField numFmtId="3" showAll="0"/>
    <pivotField numFmtId="3"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ay Fatura No" fld="4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1" dataCaption="Değerler" updatedVersion="7" minRefreshableVersion="5" useAutoFormatting="1" itemPrintTitles="1" createdVersion="6" indent="0" outline="1" outlineData="1" multipleFieldFilters="0" chartFormat="6">
  <location ref="D3:E11" firstHeaderRow="1" firstDataRow="1" firstDataCol="1"/>
  <pivotFields count="14">
    <pivotField numFmtId="165" showAll="0"/>
    <pivotField showAll="0"/>
    <pivotField showAll="0">
      <items count="8">
        <item x="0"/>
        <item x="3"/>
        <item x="4"/>
        <item x="5"/>
        <item x="2"/>
        <item x="6"/>
        <item x="1"/>
        <item t="default"/>
      </items>
    </pivotField>
    <pivotField numFmtId="14" showAll="0">
      <items count="620">
        <item x="402"/>
        <item x="583"/>
        <item x="584"/>
        <item x="403"/>
        <item x="511"/>
        <item x="487"/>
        <item x="585"/>
        <item x="404"/>
        <item x="512"/>
        <item x="586"/>
        <item x="529"/>
        <item x="530"/>
        <item x="613"/>
        <item x="531"/>
        <item x="282"/>
        <item x="162"/>
        <item x="163"/>
        <item x="283"/>
        <item x="192"/>
        <item x="475"/>
        <item x="193"/>
        <item x="476"/>
        <item x="284"/>
        <item x="285"/>
        <item x="286"/>
        <item x="194"/>
        <item x="372"/>
        <item x="6"/>
        <item x="7"/>
        <item x="493"/>
        <item x="270"/>
        <item x="150"/>
        <item x="457"/>
        <item x="126"/>
        <item x="210"/>
        <item x="36"/>
        <item x="228"/>
        <item x="60"/>
        <item x="61"/>
        <item x="62"/>
        <item x="234"/>
        <item x="235"/>
        <item x="63"/>
        <item x="64"/>
        <item x="236"/>
        <item x="65"/>
        <item x="513"/>
        <item x="587"/>
        <item x="0"/>
        <item x="216"/>
        <item x="217"/>
        <item x="252"/>
        <item x="102"/>
        <item x="433"/>
        <item x="103"/>
        <item x="348"/>
        <item x="577"/>
        <item x="318"/>
        <item x="174"/>
        <item x="253"/>
        <item x="349"/>
        <item x="390"/>
        <item x="254"/>
        <item x="350"/>
        <item x="175"/>
        <item x="434"/>
        <item x="351"/>
        <item x="435"/>
        <item x="436"/>
        <item x="104"/>
        <item x="105"/>
        <item x="319"/>
        <item x="320"/>
        <item x="30"/>
        <item x="415"/>
        <item x="499"/>
        <item x="547"/>
        <item x="548"/>
        <item x="500"/>
        <item x="549"/>
        <item x="550"/>
        <item x="551"/>
        <item x="469"/>
        <item x="396"/>
        <item x="18"/>
        <item x="19"/>
        <item x="186"/>
        <item x="276"/>
        <item x="463"/>
        <item x="336"/>
        <item x="156"/>
        <item x="132"/>
        <item x="42"/>
        <item x="43"/>
        <item x="44"/>
        <item x="378"/>
        <item x="312"/>
        <item x="138"/>
        <item x="421"/>
        <item x="96"/>
        <item x="139"/>
        <item x="342"/>
        <item x="422"/>
        <item x="379"/>
        <item x="588"/>
        <item x="589"/>
        <item x="405"/>
        <item x="514"/>
        <item x="488"/>
        <item x="590"/>
        <item x="406"/>
        <item x="515"/>
        <item x="591"/>
        <item x="532"/>
        <item x="533"/>
        <item x="614"/>
        <item x="534"/>
        <item x="287"/>
        <item x="164"/>
        <item x="165"/>
        <item x="288"/>
        <item x="195"/>
        <item x="477"/>
        <item x="196"/>
        <item x="478"/>
        <item x="289"/>
        <item x="290"/>
        <item x="291"/>
        <item x="197"/>
        <item x="373"/>
        <item x="8"/>
        <item x="9"/>
        <item x="494"/>
        <item x="271"/>
        <item x="151"/>
        <item x="458"/>
        <item x="127"/>
        <item x="211"/>
        <item x="37"/>
        <item x="229"/>
        <item x="66"/>
        <item x="67"/>
        <item x="68"/>
        <item x="237"/>
        <item x="238"/>
        <item x="69"/>
        <item x="70"/>
        <item x="239"/>
        <item x="71"/>
        <item x="516"/>
        <item x="592"/>
        <item x="1"/>
        <item x="218"/>
        <item x="219"/>
        <item x="255"/>
        <item x="106"/>
        <item x="437"/>
        <item x="107"/>
        <item x="352"/>
        <item x="578"/>
        <item x="321"/>
        <item x="176"/>
        <item x="256"/>
        <item x="353"/>
        <item x="391"/>
        <item x="257"/>
        <item x="354"/>
        <item x="177"/>
        <item x="438"/>
        <item x="355"/>
        <item x="439"/>
        <item x="440"/>
        <item x="108"/>
        <item x="109"/>
        <item x="322"/>
        <item x="323"/>
        <item x="31"/>
        <item x="416"/>
        <item x="501"/>
        <item x="552"/>
        <item x="553"/>
        <item x="502"/>
        <item x="554"/>
        <item x="555"/>
        <item x="556"/>
        <item x="470"/>
        <item x="397"/>
        <item x="20"/>
        <item x="21"/>
        <item x="187"/>
        <item x="277"/>
        <item x="464"/>
        <item x="337"/>
        <item x="157"/>
        <item x="133"/>
        <item x="45"/>
        <item x="46"/>
        <item x="47"/>
        <item x="380"/>
        <item x="313"/>
        <item x="140"/>
        <item x="423"/>
        <item x="97"/>
        <item x="141"/>
        <item x="343"/>
        <item x="424"/>
        <item x="381"/>
        <item x="593"/>
        <item x="594"/>
        <item x="407"/>
        <item x="517"/>
        <item x="489"/>
        <item x="595"/>
        <item x="408"/>
        <item x="518"/>
        <item x="596"/>
        <item x="535"/>
        <item x="536"/>
        <item x="615"/>
        <item x="537"/>
        <item x="292"/>
        <item x="166"/>
        <item x="167"/>
        <item x="293"/>
        <item x="198"/>
        <item x="479"/>
        <item x="199"/>
        <item x="480"/>
        <item x="294"/>
        <item x="295"/>
        <item x="296"/>
        <item x="200"/>
        <item x="374"/>
        <item x="10"/>
        <item x="11"/>
        <item x="495"/>
        <item x="272"/>
        <item x="152"/>
        <item x="459"/>
        <item x="128"/>
        <item x="212"/>
        <item x="38"/>
        <item x="230"/>
        <item x="72"/>
        <item x="73"/>
        <item x="74"/>
        <item x="240"/>
        <item x="241"/>
        <item x="75"/>
        <item x="76"/>
        <item x="242"/>
        <item x="77"/>
        <item x="519"/>
        <item x="597"/>
        <item x="2"/>
        <item x="220"/>
        <item x="221"/>
        <item x="258"/>
        <item x="110"/>
        <item x="441"/>
        <item x="111"/>
        <item x="356"/>
        <item x="579"/>
        <item x="324"/>
        <item x="178"/>
        <item x="259"/>
        <item x="357"/>
        <item x="392"/>
        <item x="260"/>
        <item x="358"/>
        <item x="179"/>
        <item x="442"/>
        <item x="359"/>
        <item x="443"/>
        <item x="444"/>
        <item x="112"/>
        <item x="113"/>
        <item x="325"/>
        <item x="326"/>
        <item x="32"/>
        <item x="417"/>
        <item x="503"/>
        <item x="557"/>
        <item x="558"/>
        <item x="504"/>
        <item x="559"/>
        <item x="560"/>
        <item x="561"/>
        <item x="471"/>
        <item x="398"/>
        <item x="22"/>
        <item x="23"/>
        <item x="188"/>
        <item x="278"/>
        <item x="465"/>
        <item x="338"/>
        <item x="158"/>
        <item x="134"/>
        <item x="48"/>
        <item x="49"/>
        <item x="50"/>
        <item x="382"/>
        <item x="314"/>
        <item x="142"/>
        <item x="425"/>
        <item x="98"/>
        <item x="143"/>
        <item x="344"/>
        <item x="426"/>
        <item x="383"/>
        <item x="598"/>
        <item x="599"/>
        <item x="409"/>
        <item x="520"/>
        <item x="490"/>
        <item x="600"/>
        <item x="410"/>
        <item x="521"/>
        <item x="601"/>
        <item x="538"/>
        <item x="539"/>
        <item x="616"/>
        <item x="540"/>
        <item x="297"/>
        <item x="168"/>
        <item x="169"/>
        <item x="298"/>
        <item x="201"/>
        <item x="481"/>
        <item x="202"/>
        <item x="482"/>
        <item x="299"/>
        <item x="300"/>
        <item x="301"/>
        <item x="203"/>
        <item x="375"/>
        <item x="12"/>
        <item x="13"/>
        <item x="496"/>
        <item x="273"/>
        <item x="153"/>
        <item x="460"/>
        <item x="129"/>
        <item x="213"/>
        <item x="39"/>
        <item x="231"/>
        <item x="78"/>
        <item x="79"/>
        <item x="80"/>
        <item x="243"/>
        <item x="244"/>
        <item x="81"/>
        <item x="82"/>
        <item x="245"/>
        <item x="83"/>
        <item x="522"/>
        <item x="602"/>
        <item x="3"/>
        <item x="222"/>
        <item x="223"/>
        <item x="261"/>
        <item x="114"/>
        <item x="445"/>
        <item x="115"/>
        <item x="360"/>
        <item x="580"/>
        <item x="327"/>
        <item x="180"/>
        <item x="262"/>
        <item x="361"/>
        <item x="393"/>
        <item x="263"/>
        <item x="362"/>
        <item x="181"/>
        <item x="446"/>
        <item x="363"/>
        <item x="447"/>
        <item x="448"/>
        <item x="116"/>
        <item x="117"/>
        <item x="328"/>
        <item x="329"/>
        <item x="33"/>
        <item x="418"/>
        <item x="505"/>
        <item x="562"/>
        <item x="563"/>
        <item x="506"/>
        <item x="564"/>
        <item x="565"/>
        <item x="566"/>
        <item x="472"/>
        <item x="399"/>
        <item x="24"/>
        <item x="25"/>
        <item x="189"/>
        <item x="279"/>
        <item x="466"/>
        <item x="339"/>
        <item x="159"/>
        <item x="135"/>
        <item x="51"/>
        <item x="52"/>
        <item x="53"/>
        <item x="384"/>
        <item x="315"/>
        <item x="144"/>
        <item x="427"/>
        <item x="99"/>
        <item x="145"/>
        <item x="345"/>
        <item x="428"/>
        <item x="385"/>
        <item x="603"/>
        <item x="604"/>
        <item x="411"/>
        <item x="523"/>
        <item x="491"/>
        <item x="605"/>
        <item x="412"/>
        <item x="524"/>
        <item x="606"/>
        <item x="541"/>
        <item x="542"/>
        <item x="617"/>
        <item x="543"/>
        <item x="302"/>
        <item x="170"/>
        <item x="171"/>
        <item x="303"/>
        <item x="204"/>
        <item x="483"/>
        <item x="205"/>
        <item x="484"/>
        <item x="304"/>
        <item x="305"/>
        <item x="306"/>
        <item x="206"/>
        <item x="376"/>
        <item x="14"/>
        <item x="15"/>
        <item x="497"/>
        <item x="274"/>
        <item x="154"/>
        <item x="461"/>
        <item x="130"/>
        <item x="214"/>
        <item x="40"/>
        <item x="232"/>
        <item x="84"/>
        <item x="85"/>
        <item x="86"/>
        <item x="246"/>
        <item x="247"/>
        <item x="87"/>
        <item x="88"/>
        <item x="248"/>
        <item x="89"/>
        <item x="525"/>
        <item x="607"/>
        <item x="4"/>
        <item x="224"/>
        <item x="225"/>
        <item x="264"/>
        <item x="118"/>
        <item x="449"/>
        <item x="119"/>
        <item x="364"/>
        <item x="581"/>
        <item x="330"/>
        <item x="182"/>
        <item x="265"/>
        <item x="365"/>
        <item x="394"/>
        <item x="266"/>
        <item x="366"/>
        <item x="183"/>
        <item x="450"/>
        <item x="367"/>
        <item x="451"/>
        <item x="452"/>
        <item x="120"/>
        <item x="121"/>
        <item x="331"/>
        <item x="332"/>
        <item x="34"/>
        <item x="419"/>
        <item x="507"/>
        <item x="567"/>
        <item x="568"/>
        <item x="508"/>
        <item x="569"/>
        <item x="570"/>
        <item x="571"/>
        <item x="473"/>
        <item x="400"/>
        <item x="26"/>
        <item x="27"/>
        <item x="190"/>
        <item x="280"/>
        <item x="467"/>
        <item x="340"/>
        <item x="160"/>
        <item x="136"/>
        <item x="54"/>
        <item x="55"/>
        <item x="56"/>
        <item x="386"/>
        <item x="316"/>
        <item x="146"/>
        <item x="429"/>
        <item x="100"/>
        <item x="147"/>
        <item x="346"/>
        <item x="430"/>
        <item x="387"/>
        <item x="608"/>
        <item x="609"/>
        <item x="413"/>
        <item x="526"/>
        <item x="492"/>
        <item x="610"/>
        <item x="414"/>
        <item x="527"/>
        <item x="611"/>
        <item x="544"/>
        <item x="545"/>
        <item x="618"/>
        <item x="546"/>
        <item x="307"/>
        <item x="172"/>
        <item x="173"/>
        <item x="308"/>
        <item x="207"/>
        <item x="485"/>
        <item x="208"/>
        <item x="486"/>
        <item x="309"/>
        <item x="310"/>
        <item x="311"/>
        <item x="209"/>
        <item x="377"/>
        <item x="16"/>
        <item x="17"/>
        <item x="498"/>
        <item x="275"/>
        <item x="155"/>
        <item x="462"/>
        <item x="131"/>
        <item x="215"/>
        <item x="41"/>
        <item x="233"/>
        <item x="90"/>
        <item x="91"/>
        <item x="92"/>
        <item x="249"/>
        <item x="250"/>
        <item x="93"/>
        <item x="94"/>
        <item x="251"/>
        <item x="95"/>
        <item x="528"/>
        <item x="612"/>
        <item x="5"/>
        <item x="226"/>
        <item x="227"/>
        <item x="267"/>
        <item x="122"/>
        <item x="453"/>
        <item x="123"/>
        <item x="368"/>
        <item x="582"/>
        <item x="333"/>
        <item x="184"/>
        <item x="268"/>
        <item x="369"/>
        <item x="395"/>
        <item x="269"/>
        <item x="370"/>
        <item x="185"/>
        <item x="454"/>
        <item x="371"/>
        <item x="455"/>
        <item x="456"/>
        <item x="124"/>
        <item x="125"/>
        <item x="334"/>
        <item x="335"/>
        <item x="35"/>
        <item x="420"/>
        <item x="509"/>
        <item x="572"/>
        <item x="573"/>
        <item x="510"/>
        <item x="574"/>
        <item x="575"/>
        <item x="576"/>
        <item x="474"/>
        <item x="401"/>
        <item x="28"/>
        <item x="29"/>
        <item x="191"/>
        <item x="281"/>
        <item x="468"/>
        <item x="341"/>
        <item x="161"/>
        <item x="137"/>
        <item x="57"/>
        <item x="58"/>
        <item x="59"/>
        <item x="388"/>
        <item x="317"/>
        <item x="148"/>
        <item x="431"/>
        <item x="101"/>
        <item x="149"/>
        <item x="347"/>
        <item x="432"/>
        <item x="389"/>
        <item t="default"/>
      </items>
    </pivotField>
    <pivotField numFmtId="167" showAll="0"/>
    <pivotField numFmtId="168" showAll="0"/>
    <pivotField showAll="0">
      <items count="31">
        <item x="0"/>
        <item x="4"/>
        <item x="17"/>
        <item x="1"/>
        <item x="7"/>
        <item x="23"/>
        <item x="20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15"/>
        <item x="22"/>
        <item x="25"/>
        <item x="26"/>
        <item x="14"/>
        <item x="27"/>
        <item t="default"/>
      </items>
    </pivotField>
    <pivotField numFmtId="169" showAll="0"/>
    <pivotField axis="axisRow" showAll="0">
      <items count="8">
        <item x="1"/>
        <item x="5"/>
        <item x="3"/>
        <item x="6"/>
        <item x="0"/>
        <item x="4"/>
        <item x="2"/>
        <item t="default"/>
      </items>
    </pivotField>
    <pivotField showAll="0"/>
    <pivotField showAll="0"/>
    <pivotField numFmtId="3" showAll="0"/>
    <pivotField dataField="1" numFmtId="3"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plam Tutar" fld="12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Bölgesi" xr10:uid="{00000000-0013-0000-FFFF-FFFF01000000}" sourceName="Bölgesi">
  <pivotTables>
    <pivotTable tabId="2" name="PivotTable1"/>
    <pivotTable tabId="2" name="PivotTable2"/>
    <pivotTable tabId="2" name="PivotTable3"/>
    <pivotTable tabId="2" name="PivotTable4"/>
    <pivotTable tabId="2" name="PivotTable6"/>
  </pivotTables>
  <data>
    <tabular pivotCacheId="1">
      <items count="7">
        <i x="0" s="1"/>
        <i x="3" s="1"/>
        <i x="4" s="1"/>
        <i x="5" s="1"/>
        <i x="2" s="1"/>
        <i x="6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dı_Soyadı" xr10:uid="{00000000-0013-0000-FFFF-FFFF02000000}" sourceName="Adı Soyadı">
  <pivotTables>
    <pivotTable tabId="2" name="PivotTable1"/>
    <pivotTable tabId="2" name="PivotTable2"/>
    <pivotTable tabId="2" name="PivotTable3"/>
    <pivotTable tabId="2" name="PivotTable4"/>
    <pivotTable tabId="2" name="PivotTable6"/>
  </pivotTables>
  <data>
    <tabular pivotCacheId="1">
      <items count="30">
        <i x="0" s="1"/>
        <i x="4" s="1"/>
        <i x="17" s="1"/>
        <i x="1" s="1"/>
        <i x="7" s="1"/>
        <i x="23" s="1"/>
        <i x="20" s="1"/>
        <i x="8" s="1"/>
        <i x="2" s="1"/>
        <i x="29" s="1"/>
        <i x="28" s="1"/>
        <i x="9" s="1"/>
        <i x="10" s="1"/>
        <i x="13" s="1"/>
        <i x="16" s="1"/>
        <i x="11" s="1"/>
        <i x="18" s="1"/>
        <i x="5" s="1"/>
        <i x="19" s="1"/>
        <i x="6" s="1"/>
        <i x="3" s="1"/>
        <i x="21" s="1"/>
        <i x="12" s="1"/>
        <i x="24" s="1"/>
        <i x="15" s="1"/>
        <i x="22" s="1"/>
        <i x="25" s="1"/>
        <i x="26" s="1"/>
        <i x="14" s="1"/>
        <i x="2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ölgesi" xr10:uid="{00000000-0014-0000-FFFF-FFFF01000000}" cache="Dilimleyici_Bölgesi" caption="Bölgesi" columnCount="4" rowHeight="225425"/>
  <slicer name="Adı Soyadı" xr10:uid="{00000000-0014-0000-FFFF-FFFF02000000}" cache="Dilimleyici_Adı_Soyadı" caption="Adı Soyadı" columnCount="5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2" displayName="Tablo2" ref="A1:N302" totalsRowShown="0">
  <autoFilter ref="A1:N302" xr:uid="{00000000-0009-0000-0100-000002000000}"/>
  <tableColumns count="14">
    <tableColumn id="1" xr3:uid="{00000000-0010-0000-0000-000001000000}" name="S.NO"/>
    <tableColumn id="2" xr3:uid="{00000000-0010-0000-0000-000002000000}" name="Bayi"/>
    <tableColumn id="3" xr3:uid="{00000000-0010-0000-0000-000003000000}" name="Bölgesi"/>
    <tableColumn id="4" xr3:uid="{00000000-0010-0000-0000-000004000000}" name="Tarih" dataDxfId="32"/>
    <tableColumn id="5" xr3:uid="{00000000-0010-0000-0000-000005000000}" name="Fatura No"/>
    <tableColumn id="6" xr3:uid="{00000000-0010-0000-0000-000006000000}" name="Kodu"/>
    <tableColumn id="7" xr3:uid="{00000000-0010-0000-0000-000007000000}" name="Adı Soyadı"/>
    <tableColumn id="8" xr3:uid="{00000000-0010-0000-0000-000008000000}" name="Ürün Kodu"/>
    <tableColumn id="9" xr3:uid="{00000000-0010-0000-0000-000009000000}" name="Grubu"/>
    <tableColumn id="10" xr3:uid="{00000000-0010-0000-0000-00000A000000}" name="Birim"/>
    <tableColumn id="11" xr3:uid="{00000000-0010-0000-0000-00000B000000}" name="Adet"/>
    <tableColumn id="12" xr3:uid="{00000000-0010-0000-0000-00000C000000}" name="Birim Fiyatı"/>
    <tableColumn id="13" xr3:uid="{00000000-0010-0000-0000-00000D000000}" name="Tutar"/>
    <tableColumn id="14" xr3:uid="{00000000-0010-0000-0000-00000E000000}" name="Ödeme Tip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atışlar" displayName="satışlar" ref="A1:N621" totalsRowCount="1" headerRowDxfId="31" dataDxfId="29" headerRowBorderDxfId="30" tableBorderDxfId="28">
  <autoFilter ref="A1:N620" xr:uid="{00000000-0009-0000-0100-000001000000}"/>
  <tableColumns count="14">
    <tableColumn id="1" xr3:uid="{00000000-0010-0000-0100-000001000000}" name="S.NO" totalsRowLabel="Toplam" dataDxfId="27" totalsRowDxfId="26"/>
    <tableColumn id="2" xr3:uid="{00000000-0010-0000-0100-000002000000}" name="Bayi" dataDxfId="25" totalsRowDxfId="24"/>
    <tableColumn id="3" xr3:uid="{00000000-0010-0000-0100-000003000000}" name="Bölgesi" dataDxfId="23" totalsRowDxfId="22"/>
    <tableColumn id="4" xr3:uid="{00000000-0010-0000-0100-000004000000}" name="Tarih" dataDxfId="21" totalsRowDxfId="20"/>
    <tableColumn id="5" xr3:uid="{00000000-0010-0000-0100-000005000000}" name="Fatura No" dataDxfId="19" totalsRowDxfId="18"/>
    <tableColumn id="6" xr3:uid="{00000000-0010-0000-0100-000006000000}" name="Kodu" dataDxfId="17" totalsRowDxfId="16"/>
    <tableColumn id="16" xr3:uid="{00000000-0010-0000-0100-000010000000}" name="Adı Soyadı" dataDxfId="15" totalsRowDxfId="14"/>
    <tableColumn id="9" xr3:uid="{00000000-0010-0000-0100-000009000000}" name="Ürün Kodu" dataDxfId="13" totalsRowDxfId="12"/>
    <tableColumn id="10" xr3:uid="{00000000-0010-0000-0100-00000A000000}" name="Grubu" dataDxfId="11" totalsRowDxfId="10"/>
    <tableColumn id="11" xr3:uid="{00000000-0010-0000-0100-00000B000000}" name="Birim" dataDxfId="9" totalsRowDxfId="8"/>
    <tableColumn id="12" xr3:uid="{00000000-0010-0000-0100-00000C000000}" name="Adet" dataDxfId="7" totalsRowDxfId="6"/>
    <tableColumn id="13" xr3:uid="{00000000-0010-0000-0100-00000D000000}" name="Birim Fiyatı" dataDxfId="5" totalsRowDxfId="4"/>
    <tableColumn id="14" xr3:uid="{00000000-0010-0000-0100-00000E000000}" name="Tutar" totalsRowFunction="sum" dataDxfId="3" totalsRowDxfId="2">
      <calculatedColumnFormula>L2*K2</calculatedColumnFormula>
    </tableColumn>
    <tableColumn id="15" xr3:uid="{00000000-0010-0000-0100-00000F000000}" name="Ödeme Tipi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Sarı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YerelZamanÇizelgesi_Tarih" xr10:uid="{00000000-0013-0000-FFFF-FFFF03000000}" sourceName="Tarih">
  <pivotTables>
    <pivotTable tabId="2" name="PivotTable1"/>
    <pivotTable tabId="2" name="PivotTable2"/>
    <pivotTable tabId="2" name="PivotTable3"/>
    <pivotTable tabId="2" name="PivotTable4"/>
    <pivotTable tabId="2" name="PivotTable6"/>
  </pivotTables>
  <state minimalRefreshVersion="6" lastRefreshVersion="6" pivotCacheId="1" filterType="unknown">
    <bounds startDate="1995-01-01T00:00:00" endDate="201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rih" xr10:uid="{00000000-0014-0000-FFFF-FFFF03000000}" cache="YerelZamanÇizelgesi_Tarih" caption="Tarih" level="0" selectionLevel="0" scrollPosition="2000-09-25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tabSelected="1" workbookViewId="0">
      <selection sqref="A1:N302"/>
    </sheetView>
  </sheetViews>
  <sheetFormatPr defaultRowHeight="12.75" x14ac:dyDescent="0.2"/>
  <cols>
    <col min="3" max="3" width="9.85546875" customWidth="1"/>
    <col min="5" max="5" width="12" customWidth="1"/>
    <col min="7" max="7" width="13" customWidth="1"/>
    <col min="8" max="8" width="12.7109375" customWidth="1"/>
    <col min="12" max="12" width="13.5703125" customWidth="1"/>
    <col min="14" max="14" width="13.71093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583</v>
      </c>
      <c r="B2" t="s">
        <v>43</v>
      </c>
      <c r="C2" t="s">
        <v>42</v>
      </c>
      <c r="D2" s="30">
        <v>39845</v>
      </c>
      <c r="E2">
        <v>824212655</v>
      </c>
      <c r="F2">
        <v>23</v>
      </c>
      <c r="G2" t="s">
        <v>82</v>
      </c>
      <c r="H2">
        <v>909</v>
      </c>
      <c r="I2" t="s">
        <v>24</v>
      </c>
      <c r="J2" t="s">
        <v>18</v>
      </c>
      <c r="K2">
        <v>41</v>
      </c>
      <c r="L2">
        <v>50</v>
      </c>
      <c r="M2">
        <v>2050</v>
      </c>
      <c r="N2" t="s">
        <v>30</v>
      </c>
    </row>
    <row r="3" spans="1:14" x14ac:dyDescent="0.2">
      <c r="A3">
        <v>582</v>
      </c>
      <c r="B3" t="s">
        <v>43</v>
      </c>
      <c r="C3" t="s">
        <v>42</v>
      </c>
      <c r="D3" s="30">
        <v>38918</v>
      </c>
      <c r="E3">
        <v>824212655</v>
      </c>
      <c r="F3">
        <v>23</v>
      </c>
      <c r="G3" t="s">
        <v>82</v>
      </c>
      <c r="H3">
        <v>909</v>
      </c>
      <c r="I3" t="s">
        <v>24</v>
      </c>
      <c r="J3" t="s">
        <v>18</v>
      </c>
      <c r="K3">
        <v>47</v>
      </c>
      <c r="L3">
        <v>50</v>
      </c>
      <c r="M3">
        <v>2350</v>
      </c>
      <c r="N3" t="s">
        <v>30</v>
      </c>
    </row>
    <row r="4" spans="1:14" x14ac:dyDescent="0.2">
      <c r="A4">
        <v>581</v>
      </c>
      <c r="B4" t="s">
        <v>43</v>
      </c>
      <c r="C4" t="s">
        <v>42</v>
      </c>
      <c r="D4" s="30">
        <v>37991</v>
      </c>
      <c r="E4">
        <v>824212655</v>
      </c>
      <c r="F4">
        <v>23</v>
      </c>
      <c r="G4" t="s">
        <v>82</v>
      </c>
      <c r="H4">
        <v>909</v>
      </c>
      <c r="I4" t="s">
        <v>24</v>
      </c>
      <c r="J4" t="s">
        <v>18</v>
      </c>
      <c r="K4">
        <v>36</v>
      </c>
      <c r="L4">
        <v>50</v>
      </c>
      <c r="M4">
        <v>1800</v>
      </c>
      <c r="N4" t="s">
        <v>30</v>
      </c>
    </row>
    <row r="5" spans="1:14" x14ac:dyDescent="0.2">
      <c r="A5">
        <v>580</v>
      </c>
      <c r="B5" t="s">
        <v>43</v>
      </c>
      <c r="C5" t="s">
        <v>42</v>
      </c>
      <c r="D5" s="30">
        <v>37064</v>
      </c>
      <c r="E5">
        <v>824212655</v>
      </c>
      <c r="F5">
        <v>23</v>
      </c>
      <c r="G5" t="s">
        <v>82</v>
      </c>
      <c r="H5">
        <v>909</v>
      </c>
      <c r="I5" t="s">
        <v>24</v>
      </c>
      <c r="J5" t="s">
        <v>18</v>
      </c>
      <c r="K5">
        <v>86</v>
      </c>
      <c r="L5">
        <v>50</v>
      </c>
      <c r="M5">
        <v>4300</v>
      </c>
      <c r="N5" t="s">
        <v>30</v>
      </c>
    </row>
    <row r="6" spans="1:14" x14ac:dyDescent="0.2">
      <c r="A6">
        <v>579</v>
      </c>
      <c r="B6" t="s">
        <v>43</v>
      </c>
      <c r="C6" t="s">
        <v>42</v>
      </c>
      <c r="D6" s="30">
        <v>36137</v>
      </c>
      <c r="E6">
        <v>824212655</v>
      </c>
      <c r="F6">
        <v>23</v>
      </c>
      <c r="G6" t="s">
        <v>82</v>
      </c>
      <c r="H6">
        <v>909</v>
      </c>
      <c r="I6" t="s">
        <v>24</v>
      </c>
      <c r="J6" t="s">
        <v>18</v>
      </c>
      <c r="K6">
        <v>96</v>
      </c>
      <c r="L6">
        <v>50</v>
      </c>
      <c r="M6">
        <v>4800</v>
      </c>
      <c r="N6" t="s">
        <v>30</v>
      </c>
    </row>
    <row r="7" spans="1:14" x14ac:dyDescent="0.2">
      <c r="A7">
        <v>578</v>
      </c>
      <c r="B7" t="s">
        <v>43</v>
      </c>
      <c r="C7" t="s">
        <v>42</v>
      </c>
      <c r="D7" s="30">
        <v>35210</v>
      </c>
      <c r="E7">
        <v>824212655</v>
      </c>
      <c r="F7">
        <v>23</v>
      </c>
      <c r="G7" t="s">
        <v>82</v>
      </c>
      <c r="H7">
        <v>909</v>
      </c>
      <c r="I7" t="s">
        <v>24</v>
      </c>
      <c r="J7" t="s">
        <v>18</v>
      </c>
      <c r="K7">
        <v>49</v>
      </c>
      <c r="L7">
        <v>50</v>
      </c>
      <c r="M7">
        <v>2450</v>
      </c>
      <c r="N7" t="s">
        <v>30</v>
      </c>
    </row>
    <row r="8" spans="1:14" x14ac:dyDescent="0.2">
      <c r="A8">
        <v>487</v>
      </c>
      <c r="B8" t="s">
        <v>52</v>
      </c>
      <c r="C8" t="s">
        <v>42</v>
      </c>
      <c r="D8" s="30">
        <v>39530</v>
      </c>
      <c r="E8">
        <v>6654060629</v>
      </c>
      <c r="F8">
        <v>33</v>
      </c>
      <c r="G8" t="s">
        <v>75</v>
      </c>
      <c r="H8">
        <v>353</v>
      </c>
      <c r="I8" t="s">
        <v>22</v>
      </c>
      <c r="J8" t="s">
        <v>23</v>
      </c>
      <c r="K8">
        <v>68</v>
      </c>
      <c r="L8">
        <v>40</v>
      </c>
      <c r="M8">
        <v>2720</v>
      </c>
      <c r="N8" t="s">
        <v>19</v>
      </c>
    </row>
    <row r="9" spans="1:14" x14ac:dyDescent="0.2">
      <c r="A9">
        <v>486</v>
      </c>
      <c r="B9" t="s">
        <v>52</v>
      </c>
      <c r="C9" t="s">
        <v>42</v>
      </c>
      <c r="D9" s="30">
        <v>39512</v>
      </c>
      <c r="E9">
        <v>3814457118</v>
      </c>
      <c r="F9">
        <v>33</v>
      </c>
      <c r="G9" t="s">
        <v>75</v>
      </c>
      <c r="H9">
        <v>704</v>
      </c>
      <c r="I9" t="s">
        <v>36</v>
      </c>
      <c r="J9" t="s">
        <v>18</v>
      </c>
      <c r="K9">
        <v>64</v>
      </c>
      <c r="L9">
        <v>60</v>
      </c>
      <c r="M9">
        <v>3840</v>
      </c>
      <c r="N9" t="s">
        <v>30</v>
      </c>
    </row>
    <row r="10" spans="1:14" x14ac:dyDescent="0.2">
      <c r="A10">
        <v>485</v>
      </c>
      <c r="B10" t="s">
        <v>52</v>
      </c>
      <c r="C10" t="s">
        <v>42</v>
      </c>
      <c r="D10" s="30">
        <v>38603</v>
      </c>
      <c r="E10">
        <v>6654060629</v>
      </c>
      <c r="F10">
        <v>33</v>
      </c>
      <c r="G10" t="s">
        <v>75</v>
      </c>
      <c r="H10">
        <v>353</v>
      </c>
      <c r="I10" t="s">
        <v>22</v>
      </c>
      <c r="J10" t="s">
        <v>23</v>
      </c>
      <c r="K10">
        <v>22</v>
      </c>
      <c r="L10">
        <v>40</v>
      </c>
      <c r="M10">
        <v>880</v>
      </c>
      <c r="N10" t="s">
        <v>19</v>
      </c>
    </row>
    <row r="11" spans="1:14" x14ac:dyDescent="0.2">
      <c r="A11">
        <v>484</v>
      </c>
      <c r="B11" t="s">
        <v>52</v>
      </c>
      <c r="C11" t="s">
        <v>42</v>
      </c>
      <c r="D11" s="30">
        <v>38585</v>
      </c>
      <c r="E11">
        <v>3814457118</v>
      </c>
      <c r="F11">
        <v>33</v>
      </c>
      <c r="G11" t="s">
        <v>75</v>
      </c>
      <c r="H11">
        <v>704</v>
      </c>
      <c r="I11" t="s">
        <v>36</v>
      </c>
      <c r="J11" t="s">
        <v>18</v>
      </c>
      <c r="K11">
        <v>62</v>
      </c>
      <c r="L11">
        <v>60</v>
      </c>
      <c r="M11">
        <v>3720</v>
      </c>
      <c r="N11" t="s">
        <v>30</v>
      </c>
    </row>
    <row r="12" spans="1:14" x14ac:dyDescent="0.2">
      <c r="A12">
        <v>483</v>
      </c>
      <c r="B12" t="s">
        <v>52</v>
      </c>
      <c r="C12" t="s">
        <v>42</v>
      </c>
      <c r="D12" s="30">
        <v>37676</v>
      </c>
      <c r="E12">
        <v>6654060629</v>
      </c>
      <c r="F12">
        <v>33</v>
      </c>
      <c r="G12" t="s">
        <v>75</v>
      </c>
      <c r="H12">
        <v>353</v>
      </c>
      <c r="I12" t="s">
        <v>22</v>
      </c>
      <c r="J12" t="s">
        <v>23</v>
      </c>
      <c r="K12">
        <v>77</v>
      </c>
      <c r="L12">
        <v>40</v>
      </c>
      <c r="M12">
        <v>3080</v>
      </c>
      <c r="N12" t="s">
        <v>19</v>
      </c>
    </row>
    <row r="13" spans="1:14" x14ac:dyDescent="0.2">
      <c r="A13">
        <v>482</v>
      </c>
      <c r="B13" t="s">
        <v>52</v>
      </c>
      <c r="C13" t="s">
        <v>42</v>
      </c>
      <c r="D13" s="30">
        <v>37658</v>
      </c>
      <c r="E13">
        <v>3814457118</v>
      </c>
      <c r="F13">
        <v>33</v>
      </c>
      <c r="G13" t="s">
        <v>75</v>
      </c>
      <c r="H13">
        <v>704</v>
      </c>
      <c r="I13" t="s">
        <v>36</v>
      </c>
      <c r="J13" t="s">
        <v>18</v>
      </c>
      <c r="K13">
        <v>61</v>
      </c>
      <c r="L13">
        <v>60</v>
      </c>
      <c r="M13">
        <v>3660</v>
      </c>
      <c r="N13" t="s">
        <v>30</v>
      </c>
    </row>
    <row r="14" spans="1:14" x14ac:dyDescent="0.2">
      <c r="A14">
        <v>481</v>
      </c>
      <c r="B14" t="s">
        <v>52</v>
      </c>
      <c r="C14" t="s">
        <v>42</v>
      </c>
      <c r="D14" s="30">
        <v>36749</v>
      </c>
      <c r="E14">
        <v>6654060629</v>
      </c>
      <c r="F14">
        <v>33</v>
      </c>
      <c r="G14" t="s">
        <v>75</v>
      </c>
      <c r="H14">
        <v>353</v>
      </c>
      <c r="I14" t="s">
        <v>22</v>
      </c>
      <c r="J14" t="s">
        <v>23</v>
      </c>
      <c r="K14">
        <v>87</v>
      </c>
      <c r="L14">
        <v>40</v>
      </c>
      <c r="M14">
        <v>3480</v>
      </c>
      <c r="N14" t="s">
        <v>19</v>
      </c>
    </row>
    <row r="15" spans="1:14" x14ac:dyDescent="0.2">
      <c r="A15">
        <v>480</v>
      </c>
      <c r="B15" t="s">
        <v>52</v>
      </c>
      <c r="C15" t="s">
        <v>42</v>
      </c>
      <c r="D15" s="30">
        <v>36731</v>
      </c>
      <c r="E15">
        <v>3814457118</v>
      </c>
      <c r="F15">
        <v>20</v>
      </c>
      <c r="G15" t="s">
        <v>73</v>
      </c>
      <c r="H15">
        <v>704</v>
      </c>
      <c r="I15" t="s">
        <v>36</v>
      </c>
      <c r="J15" t="s">
        <v>18</v>
      </c>
      <c r="K15">
        <v>42</v>
      </c>
      <c r="L15">
        <v>60</v>
      </c>
      <c r="M15">
        <v>2520</v>
      </c>
      <c r="N15" t="s">
        <v>30</v>
      </c>
    </row>
    <row r="16" spans="1:14" x14ac:dyDescent="0.2">
      <c r="A16">
        <v>479</v>
      </c>
      <c r="B16" t="s">
        <v>52</v>
      </c>
      <c r="C16" t="s">
        <v>42</v>
      </c>
      <c r="D16" s="30">
        <v>35822</v>
      </c>
      <c r="E16">
        <v>6654060629</v>
      </c>
      <c r="F16">
        <v>20</v>
      </c>
      <c r="G16" t="s">
        <v>73</v>
      </c>
      <c r="H16">
        <v>353</v>
      </c>
      <c r="I16" t="s">
        <v>22</v>
      </c>
      <c r="J16" t="s">
        <v>23</v>
      </c>
      <c r="K16">
        <v>83</v>
      </c>
      <c r="L16">
        <v>40</v>
      </c>
      <c r="M16">
        <v>3320</v>
      </c>
      <c r="N16" t="s">
        <v>19</v>
      </c>
    </row>
    <row r="17" spans="1:14" x14ac:dyDescent="0.2">
      <c r="A17">
        <v>478</v>
      </c>
      <c r="B17" t="s">
        <v>52</v>
      </c>
      <c r="C17" t="s">
        <v>42</v>
      </c>
      <c r="D17" s="30">
        <v>35804</v>
      </c>
      <c r="E17">
        <v>3814457118</v>
      </c>
      <c r="F17">
        <v>20</v>
      </c>
      <c r="G17" t="s">
        <v>73</v>
      </c>
      <c r="H17">
        <v>704</v>
      </c>
      <c r="I17" t="s">
        <v>36</v>
      </c>
      <c r="J17" t="s">
        <v>18</v>
      </c>
      <c r="K17">
        <v>72</v>
      </c>
      <c r="L17">
        <v>60</v>
      </c>
      <c r="M17">
        <v>4320</v>
      </c>
      <c r="N17" t="s">
        <v>30</v>
      </c>
    </row>
    <row r="18" spans="1:14" x14ac:dyDescent="0.2">
      <c r="A18">
        <v>477</v>
      </c>
      <c r="B18" t="s">
        <v>52</v>
      </c>
      <c r="C18" t="s">
        <v>42</v>
      </c>
      <c r="D18" s="30">
        <v>34895</v>
      </c>
      <c r="E18">
        <v>6654060629</v>
      </c>
      <c r="F18">
        <v>20</v>
      </c>
      <c r="G18" t="s">
        <v>73</v>
      </c>
      <c r="H18">
        <v>353</v>
      </c>
      <c r="I18" t="s">
        <v>22</v>
      </c>
      <c r="J18" t="s">
        <v>23</v>
      </c>
      <c r="K18">
        <v>75</v>
      </c>
      <c r="L18">
        <v>40</v>
      </c>
      <c r="M18">
        <v>3000</v>
      </c>
      <c r="N18" t="s">
        <v>19</v>
      </c>
    </row>
    <row r="19" spans="1:14" x14ac:dyDescent="0.2">
      <c r="A19">
        <v>476</v>
      </c>
      <c r="B19" t="s">
        <v>52</v>
      </c>
      <c r="C19" t="s">
        <v>42</v>
      </c>
      <c r="D19" s="30">
        <v>34877</v>
      </c>
      <c r="E19">
        <v>3814457118</v>
      </c>
      <c r="F19">
        <v>20</v>
      </c>
      <c r="G19" t="s">
        <v>73</v>
      </c>
      <c r="H19">
        <v>704</v>
      </c>
      <c r="I19" t="s">
        <v>36</v>
      </c>
      <c r="J19" t="s">
        <v>18</v>
      </c>
      <c r="K19">
        <v>18</v>
      </c>
      <c r="L19">
        <v>60</v>
      </c>
      <c r="M19">
        <v>1080</v>
      </c>
      <c r="N19" t="s">
        <v>30</v>
      </c>
    </row>
    <row r="20" spans="1:14" x14ac:dyDescent="0.2">
      <c r="A20">
        <v>475</v>
      </c>
      <c r="B20" t="s">
        <v>67</v>
      </c>
      <c r="C20" t="s">
        <v>42</v>
      </c>
      <c r="D20" s="30">
        <v>40079</v>
      </c>
      <c r="E20">
        <v>9552592145</v>
      </c>
      <c r="F20">
        <v>20</v>
      </c>
      <c r="G20" t="s">
        <v>73</v>
      </c>
      <c r="H20">
        <v>896</v>
      </c>
      <c r="I20" t="s">
        <v>38</v>
      </c>
      <c r="J20" t="s">
        <v>18</v>
      </c>
      <c r="K20">
        <v>18</v>
      </c>
      <c r="L20">
        <v>15</v>
      </c>
      <c r="M20">
        <v>270</v>
      </c>
      <c r="N20" t="s">
        <v>25</v>
      </c>
    </row>
    <row r="21" spans="1:14" x14ac:dyDescent="0.2">
      <c r="A21">
        <v>474</v>
      </c>
      <c r="B21" t="s">
        <v>67</v>
      </c>
      <c r="C21" t="s">
        <v>42</v>
      </c>
      <c r="D21" s="30">
        <v>39152</v>
      </c>
      <c r="E21">
        <v>9552592145</v>
      </c>
      <c r="F21">
        <v>20</v>
      </c>
      <c r="G21" t="s">
        <v>73</v>
      </c>
      <c r="H21">
        <v>896</v>
      </c>
      <c r="I21" t="s">
        <v>38</v>
      </c>
      <c r="J21" t="s">
        <v>18</v>
      </c>
      <c r="K21">
        <v>34</v>
      </c>
      <c r="L21">
        <v>15</v>
      </c>
      <c r="M21">
        <v>510</v>
      </c>
      <c r="N21" t="s">
        <v>25</v>
      </c>
    </row>
    <row r="22" spans="1:14" x14ac:dyDescent="0.2">
      <c r="A22">
        <v>473</v>
      </c>
      <c r="B22" t="s">
        <v>67</v>
      </c>
      <c r="C22" t="s">
        <v>42</v>
      </c>
      <c r="D22" s="30">
        <v>38225</v>
      </c>
      <c r="E22">
        <v>9552592145</v>
      </c>
      <c r="F22">
        <v>20</v>
      </c>
      <c r="G22" t="s">
        <v>73</v>
      </c>
      <c r="H22">
        <v>896</v>
      </c>
      <c r="I22" t="s">
        <v>38</v>
      </c>
      <c r="J22" t="s">
        <v>18</v>
      </c>
      <c r="K22">
        <v>40</v>
      </c>
      <c r="L22">
        <v>15</v>
      </c>
      <c r="M22">
        <v>600</v>
      </c>
      <c r="N22" t="s">
        <v>25</v>
      </c>
    </row>
    <row r="23" spans="1:14" x14ac:dyDescent="0.2">
      <c r="A23">
        <v>472</v>
      </c>
      <c r="B23" t="s">
        <v>67</v>
      </c>
      <c r="C23" t="s">
        <v>42</v>
      </c>
      <c r="D23" s="30">
        <v>37298</v>
      </c>
      <c r="E23">
        <v>9552592145</v>
      </c>
      <c r="F23">
        <v>20</v>
      </c>
      <c r="G23" t="s">
        <v>73</v>
      </c>
      <c r="H23">
        <v>896</v>
      </c>
      <c r="I23" t="s">
        <v>38</v>
      </c>
      <c r="J23" t="s">
        <v>18</v>
      </c>
      <c r="K23">
        <v>93</v>
      </c>
      <c r="L23">
        <v>15</v>
      </c>
      <c r="M23">
        <v>1395</v>
      </c>
      <c r="N23" t="s">
        <v>25</v>
      </c>
    </row>
    <row r="24" spans="1:14" x14ac:dyDescent="0.2">
      <c r="A24">
        <v>471</v>
      </c>
      <c r="B24" t="s">
        <v>67</v>
      </c>
      <c r="C24" t="s">
        <v>42</v>
      </c>
      <c r="D24" s="30">
        <v>36371</v>
      </c>
      <c r="E24">
        <v>9552592145</v>
      </c>
      <c r="F24">
        <v>20</v>
      </c>
      <c r="G24" t="s">
        <v>73</v>
      </c>
      <c r="H24">
        <v>896</v>
      </c>
      <c r="I24" t="s">
        <v>38</v>
      </c>
      <c r="J24" t="s">
        <v>18</v>
      </c>
      <c r="K24">
        <v>86</v>
      </c>
      <c r="L24">
        <v>15</v>
      </c>
      <c r="M24">
        <v>1290</v>
      </c>
      <c r="N24" t="s">
        <v>25</v>
      </c>
    </row>
    <row r="25" spans="1:14" x14ac:dyDescent="0.2">
      <c r="A25">
        <v>470</v>
      </c>
      <c r="B25" t="s">
        <v>67</v>
      </c>
      <c r="C25" t="s">
        <v>42</v>
      </c>
      <c r="D25" s="30">
        <v>35444</v>
      </c>
      <c r="E25">
        <v>9552592145</v>
      </c>
      <c r="F25">
        <v>20</v>
      </c>
      <c r="G25" t="s">
        <v>73</v>
      </c>
      <c r="H25">
        <v>896</v>
      </c>
      <c r="I25" t="s">
        <v>38</v>
      </c>
      <c r="J25" t="s">
        <v>18</v>
      </c>
      <c r="K25">
        <v>26</v>
      </c>
      <c r="L25">
        <v>15</v>
      </c>
      <c r="M25">
        <v>390</v>
      </c>
      <c r="N25" t="s">
        <v>25</v>
      </c>
    </row>
    <row r="26" spans="1:14" x14ac:dyDescent="0.2">
      <c r="A26">
        <v>469</v>
      </c>
      <c r="B26" t="s">
        <v>48</v>
      </c>
      <c r="C26" t="s">
        <v>42</v>
      </c>
      <c r="D26" s="30">
        <v>40133</v>
      </c>
      <c r="E26">
        <v>6049818802</v>
      </c>
      <c r="F26">
        <v>20</v>
      </c>
      <c r="G26" t="s">
        <v>73</v>
      </c>
      <c r="H26">
        <v>548</v>
      </c>
      <c r="I26" t="s">
        <v>24</v>
      </c>
      <c r="J26" t="s">
        <v>18</v>
      </c>
      <c r="K26">
        <v>34</v>
      </c>
      <c r="L26">
        <v>90</v>
      </c>
      <c r="M26">
        <v>3060</v>
      </c>
      <c r="N26" t="s">
        <v>19</v>
      </c>
    </row>
    <row r="27" spans="1:14" x14ac:dyDescent="0.2">
      <c r="A27">
        <v>468</v>
      </c>
      <c r="B27" t="s">
        <v>48</v>
      </c>
      <c r="C27" t="s">
        <v>42</v>
      </c>
      <c r="D27" s="30">
        <v>39206</v>
      </c>
      <c r="E27">
        <v>6049818802</v>
      </c>
      <c r="F27">
        <v>20</v>
      </c>
      <c r="G27" t="s">
        <v>73</v>
      </c>
      <c r="H27">
        <v>548</v>
      </c>
      <c r="I27" t="s">
        <v>24</v>
      </c>
      <c r="J27" t="s">
        <v>18</v>
      </c>
      <c r="K27">
        <v>31</v>
      </c>
      <c r="L27">
        <v>90</v>
      </c>
      <c r="M27">
        <v>2790</v>
      </c>
      <c r="N27" t="s">
        <v>19</v>
      </c>
    </row>
    <row r="28" spans="1:14" x14ac:dyDescent="0.2">
      <c r="A28">
        <v>467</v>
      </c>
      <c r="B28" t="s">
        <v>48</v>
      </c>
      <c r="C28" t="s">
        <v>42</v>
      </c>
      <c r="D28" s="30">
        <v>38279</v>
      </c>
      <c r="E28">
        <v>6049818802</v>
      </c>
      <c r="F28">
        <v>32</v>
      </c>
      <c r="G28" t="s">
        <v>74</v>
      </c>
      <c r="H28">
        <v>548</v>
      </c>
      <c r="I28" t="s">
        <v>24</v>
      </c>
      <c r="J28" t="s">
        <v>18</v>
      </c>
      <c r="K28">
        <v>24</v>
      </c>
      <c r="L28">
        <v>90</v>
      </c>
      <c r="M28">
        <v>2160</v>
      </c>
      <c r="N28" t="s">
        <v>19</v>
      </c>
    </row>
    <row r="29" spans="1:14" x14ac:dyDescent="0.2">
      <c r="A29">
        <v>466</v>
      </c>
      <c r="B29" t="s">
        <v>48</v>
      </c>
      <c r="C29" t="s">
        <v>42</v>
      </c>
      <c r="D29" s="30">
        <v>37352</v>
      </c>
      <c r="E29">
        <v>6049818802</v>
      </c>
      <c r="F29">
        <v>32</v>
      </c>
      <c r="G29" t="s">
        <v>74</v>
      </c>
      <c r="H29">
        <v>548</v>
      </c>
      <c r="I29" t="s">
        <v>24</v>
      </c>
      <c r="J29" t="s">
        <v>18</v>
      </c>
      <c r="K29">
        <v>69</v>
      </c>
      <c r="L29">
        <v>90</v>
      </c>
      <c r="M29">
        <v>6210</v>
      </c>
      <c r="N29" t="s">
        <v>19</v>
      </c>
    </row>
    <row r="30" spans="1:14" x14ac:dyDescent="0.2">
      <c r="A30">
        <v>465</v>
      </c>
      <c r="B30" t="s">
        <v>48</v>
      </c>
      <c r="C30" t="s">
        <v>42</v>
      </c>
      <c r="D30" s="30">
        <v>36425</v>
      </c>
      <c r="E30">
        <v>6049818802</v>
      </c>
      <c r="F30">
        <v>32</v>
      </c>
      <c r="G30" t="s">
        <v>74</v>
      </c>
      <c r="H30">
        <v>548</v>
      </c>
      <c r="I30" t="s">
        <v>24</v>
      </c>
      <c r="J30" t="s">
        <v>18</v>
      </c>
      <c r="K30">
        <v>30</v>
      </c>
      <c r="L30">
        <v>90</v>
      </c>
      <c r="M30">
        <v>2700</v>
      </c>
      <c r="N30" t="s">
        <v>19</v>
      </c>
    </row>
    <row r="31" spans="1:14" x14ac:dyDescent="0.2">
      <c r="A31">
        <v>464</v>
      </c>
      <c r="B31" t="s">
        <v>48</v>
      </c>
      <c r="C31" t="s">
        <v>42</v>
      </c>
      <c r="D31" s="30">
        <v>35498</v>
      </c>
      <c r="E31">
        <v>6049818802</v>
      </c>
      <c r="F31">
        <v>32</v>
      </c>
      <c r="G31" t="s">
        <v>74</v>
      </c>
      <c r="H31">
        <v>548</v>
      </c>
      <c r="I31" t="s">
        <v>24</v>
      </c>
      <c r="J31" t="s">
        <v>18</v>
      </c>
      <c r="K31">
        <v>92</v>
      </c>
      <c r="L31">
        <v>90</v>
      </c>
      <c r="M31">
        <v>8280</v>
      </c>
      <c r="N31" t="s">
        <v>19</v>
      </c>
    </row>
    <row r="32" spans="1:14" x14ac:dyDescent="0.2">
      <c r="A32">
        <v>463</v>
      </c>
      <c r="B32" t="s">
        <v>50</v>
      </c>
      <c r="C32" t="s">
        <v>42</v>
      </c>
      <c r="D32" s="30">
        <v>39629</v>
      </c>
      <c r="E32">
        <v>274199699</v>
      </c>
      <c r="F32">
        <v>32</v>
      </c>
      <c r="G32" t="s">
        <v>74</v>
      </c>
      <c r="H32">
        <v>577</v>
      </c>
      <c r="I32" t="s">
        <v>47</v>
      </c>
      <c r="J32" t="s">
        <v>18</v>
      </c>
      <c r="K32">
        <v>44</v>
      </c>
      <c r="L32">
        <v>40</v>
      </c>
      <c r="M32">
        <v>1760</v>
      </c>
      <c r="N32" t="s">
        <v>25</v>
      </c>
    </row>
    <row r="33" spans="1:14" x14ac:dyDescent="0.2">
      <c r="A33">
        <v>462</v>
      </c>
      <c r="B33" t="s">
        <v>50</v>
      </c>
      <c r="C33" t="s">
        <v>42</v>
      </c>
      <c r="D33" s="30">
        <v>38702</v>
      </c>
      <c r="E33">
        <v>274199699</v>
      </c>
      <c r="F33">
        <v>32</v>
      </c>
      <c r="G33" t="s">
        <v>74</v>
      </c>
      <c r="H33">
        <v>577</v>
      </c>
      <c r="I33" t="s">
        <v>47</v>
      </c>
      <c r="J33" t="s">
        <v>18</v>
      </c>
      <c r="K33">
        <v>37</v>
      </c>
      <c r="L33">
        <v>40</v>
      </c>
      <c r="M33">
        <v>1480</v>
      </c>
      <c r="N33" t="s">
        <v>25</v>
      </c>
    </row>
    <row r="34" spans="1:14" x14ac:dyDescent="0.2">
      <c r="A34">
        <v>461</v>
      </c>
      <c r="B34" t="s">
        <v>50</v>
      </c>
      <c r="C34" t="s">
        <v>42</v>
      </c>
      <c r="D34" s="30">
        <v>37775</v>
      </c>
      <c r="E34">
        <v>274199699</v>
      </c>
      <c r="F34">
        <v>32</v>
      </c>
      <c r="G34" t="s">
        <v>74</v>
      </c>
      <c r="H34">
        <v>577</v>
      </c>
      <c r="I34" t="s">
        <v>47</v>
      </c>
      <c r="J34" t="s">
        <v>18</v>
      </c>
      <c r="K34">
        <v>77</v>
      </c>
      <c r="L34">
        <v>40</v>
      </c>
      <c r="M34">
        <v>3080</v>
      </c>
      <c r="N34" t="s">
        <v>25</v>
      </c>
    </row>
    <row r="35" spans="1:14" x14ac:dyDescent="0.2">
      <c r="A35">
        <v>460</v>
      </c>
      <c r="B35" t="s">
        <v>50</v>
      </c>
      <c r="C35" t="s">
        <v>42</v>
      </c>
      <c r="D35" s="30">
        <v>36848</v>
      </c>
      <c r="E35">
        <v>274199699</v>
      </c>
      <c r="F35">
        <v>32</v>
      </c>
      <c r="G35" t="s">
        <v>74</v>
      </c>
      <c r="H35">
        <v>577</v>
      </c>
      <c r="I35" t="s">
        <v>47</v>
      </c>
      <c r="J35" t="s">
        <v>18</v>
      </c>
      <c r="K35">
        <v>63</v>
      </c>
      <c r="L35">
        <v>40</v>
      </c>
      <c r="M35">
        <v>2520</v>
      </c>
      <c r="N35" t="s">
        <v>25</v>
      </c>
    </row>
    <row r="36" spans="1:14" x14ac:dyDescent="0.2">
      <c r="A36">
        <v>459</v>
      </c>
      <c r="B36" t="s">
        <v>50</v>
      </c>
      <c r="C36" t="s">
        <v>42</v>
      </c>
      <c r="D36" s="30">
        <v>35921</v>
      </c>
      <c r="E36">
        <v>274199699</v>
      </c>
      <c r="F36">
        <v>32</v>
      </c>
      <c r="G36" t="s">
        <v>74</v>
      </c>
      <c r="H36">
        <v>577</v>
      </c>
      <c r="I36" t="s">
        <v>47</v>
      </c>
      <c r="J36" t="s">
        <v>18</v>
      </c>
      <c r="K36">
        <v>54</v>
      </c>
      <c r="L36">
        <v>40</v>
      </c>
      <c r="M36">
        <v>2160</v>
      </c>
      <c r="N36" t="s">
        <v>25</v>
      </c>
    </row>
    <row r="37" spans="1:14" x14ac:dyDescent="0.2">
      <c r="A37">
        <v>458</v>
      </c>
      <c r="B37" t="s">
        <v>50</v>
      </c>
      <c r="C37" t="s">
        <v>42</v>
      </c>
      <c r="D37" s="30">
        <v>34994</v>
      </c>
      <c r="E37">
        <v>274199699</v>
      </c>
      <c r="F37">
        <v>32</v>
      </c>
      <c r="G37" t="s">
        <v>74</v>
      </c>
      <c r="H37">
        <v>577</v>
      </c>
      <c r="I37" t="s">
        <v>47</v>
      </c>
      <c r="J37" t="s">
        <v>18</v>
      </c>
      <c r="K37">
        <v>13</v>
      </c>
      <c r="L37">
        <v>40</v>
      </c>
      <c r="M37">
        <v>520</v>
      </c>
      <c r="N37" t="s">
        <v>25</v>
      </c>
    </row>
    <row r="38" spans="1:14" x14ac:dyDescent="0.2">
      <c r="A38">
        <v>457</v>
      </c>
      <c r="B38" t="s">
        <v>43</v>
      </c>
      <c r="C38" t="s">
        <v>42</v>
      </c>
      <c r="D38" s="30">
        <v>39953</v>
      </c>
      <c r="E38">
        <v>5310734203</v>
      </c>
      <c r="F38">
        <v>32</v>
      </c>
      <c r="G38" t="s">
        <v>74</v>
      </c>
      <c r="H38">
        <v>909</v>
      </c>
      <c r="I38" t="s">
        <v>24</v>
      </c>
      <c r="J38" t="s">
        <v>18</v>
      </c>
      <c r="K38">
        <v>47</v>
      </c>
      <c r="L38">
        <v>50</v>
      </c>
      <c r="M38">
        <v>2350</v>
      </c>
      <c r="N38" t="s">
        <v>30</v>
      </c>
    </row>
    <row r="39" spans="1:14" x14ac:dyDescent="0.2">
      <c r="A39">
        <v>456</v>
      </c>
      <c r="B39" t="s">
        <v>43</v>
      </c>
      <c r="C39" t="s">
        <v>42</v>
      </c>
      <c r="D39" s="30">
        <v>39944</v>
      </c>
      <c r="E39">
        <v>4774867535</v>
      </c>
      <c r="F39">
        <v>32</v>
      </c>
      <c r="G39" t="s">
        <v>74</v>
      </c>
      <c r="H39">
        <v>359</v>
      </c>
      <c r="I39" t="s">
        <v>17</v>
      </c>
      <c r="J39" t="s">
        <v>18</v>
      </c>
      <c r="K39">
        <v>51</v>
      </c>
      <c r="L39">
        <v>25</v>
      </c>
      <c r="M39">
        <v>1275</v>
      </c>
      <c r="N39" t="s">
        <v>25</v>
      </c>
    </row>
    <row r="40" spans="1:14" x14ac:dyDescent="0.2">
      <c r="A40">
        <v>455</v>
      </c>
      <c r="B40" t="s">
        <v>43</v>
      </c>
      <c r="C40" t="s">
        <v>42</v>
      </c>
      <c r="D40" s="30">
        <v>39926</v>
      </c>
      <c r="E40">
        <v>8247971380</v>
      </c>
      <c r="F40">
        <v>32</v>
      </c>
      <c r="G40" t="s">
        <v>74</v>
      </c>
      <c r="H40">
        <v>454</v>
      </c>
      <c r="I40" t="s">
        <v>38</v>
      </c>
      <c r="J40" t="s">
        <v>18</v>
      </c>
      <c r="K40">
        <v>33</v>
      </c>
      <c r="L40">
        <v>15</v>
      </c>
      <c r="M40">
        <v>495</v>
      </c>
      <c r="N40" t="s">
        <v>19</v>
      </c>
    </row>
    <row r="41" spans="1:14" x14ac:dyDescent="0.2">
      <c r="A41">
        <v>454</v>
      </c>
      <c r="B41" t="s">
        <v>43</v>
      </c>
      <c r="C41" t="s">
        <v>42</v>
      </c>
      <c r="D41" s="30">
        <v>39818</v>
      </c>
      <c r="E41">
        <v>3665624202</v>
      </c>
      <c r="F41">
        <v>32</v>
      </c>
      <c r="G41" t="s">
        <v>74</v>
      </c>
      <c r="H41">
        <v>353</v>
      </c>
      <c r="I41" t="s">
        <v>22</v>
      </c>
      <c r="J41" t="s">
        <v>23</v>
      </c>
      <c r="K41">
        <v>55</v>
      </c>
      <c r="L41">
        <v>40</v>
      </c>
      <c r="M41">
        <v>2200</v>
      </c>
      <c r="N41" t="s">
        <v>30</v>
      </c>
    </row>
    <row r="42" spans="1:14" x14ac:dyDescent="0.2">
      <c r="A42">
        <v>453</v>
      </c>
      <c r="B42" t="s">
        <v>43</v>
      </c>
      <c r="C42" t="s">
        <v>42</v>
      </c>
      <c r="D42" s="30">
        <v>39026</v>
      </c>
      <c r="E42">
        <v>5310734203</v>
      </c>
      <c r="F42">
        <v>32</v>
      </c>
      <c r="G42" t="s">
        <v>74</v>
      </c>
      <c r="H42">
        <v>909</v>
      </c>
      <c r="I42" t="s">
        <v>24</v>
      </c>
      <c r="J42" t="s">
        <v>18</v>
      </c>
      <c r="K42">
        <v>50</v>
      </c>
      <c r="L42">
        <v>50</v>
      </c>
      <c r="M42">
        <v>2500</v>
      </c>
      <c r="N42" t="s">
        <v>30</v>
      </c>
    </row>
    <row r="43" spans="1:14" x14ac:dyDescent="0.2">
      <c r="A43">
        <v>452</v>
      </c>
      <c r="B43" t="s">
        <v>43</v>
      </c>
      <c r="C43" t="s">
        <v>42</v>
      </c>
      <c r="D43" s="30">
        <v>39017</v>
      </c>
      <c r="E43">
        <v>4774867535</v>
      </c>
      <c r="F43">
        <v>32</v>
      </c>
      <c r="G43" t="s">
        <v>74</v>
      </c>
      <c r="H43">
        <v>359</v>
      </c>
      <c r="I43" t="s">
        <v>17</v>
      </c>
      <c r="J43" t="s">
        <v>18</v>
      </c>
      <c r="K43">
        <v>88</v>
      </c>
      <c r="L43">
        <v>25</v>
      </c>
      <c r="M43">
        <v>2200</v>
      </c>
      <c r="N43" t="s">
        <v>25</v>
      </c>
    </row>
    <row r="44" spans="1:14" x14ac:dyDescent="0.2">
      <c r="A44">
        <v>451</v>
      </c>
      <c r="B44" t="s">
        <v>43</v>
      </c>
      <c r="C44" t="s">
        <v>42</v>
      </c>
      <c r="D44" s="30">
        <v>38999</v>
      </c>
      <c r="E44">
        <v>8247971380</v>
      </c>
      <c r="F44">
        <v>32</v>
      </c>
      <c r="G44" t="s">
        <v>74</v>
      </c>
      <c r="H44">
        <v>454</v>
      </c>
      <c r="I44" t="s">
        <v>38</v>
      </c>
      <c r="J44" t="s">
        <v>18</v>
      </c>
      <c r="K44">
        <v>80</v>
      </c>
      <c r="L44">
        <v>15</v>
      </c>
      <c r="M44">
        <v>1200</v>
      </c>
      <c r="N44" t="s">
        <v>19</v>
      </c>
    </row>
    <row r="45" spans="1:14" x14ac:dyDescent="0.2">
      <c r="A45">
        <v>450</v>
      </c>
      <c r="B45" t="s">
        <v>43</v>
      </c>
      <c r="C45" t="s">
        <v>42</v>
      </c>
      <c r="D45" s="30">
        <v>38891</v>
      </c>
      <c r="E45">
        <v>3665624202</v>
      </c>
      <c r="F45">
        <v>20</v>
      </c>
      <c r="G45" t="s">
        <v>73</v>
      </c>
      <c r="H45">
        <v>353</v>
      </c>
      <c r="I45" t="s">
        <v>22</v>
      </c>
      <c r="J45" t="s">
        <v>23</v>
      </c>
      <c r="K45">
        <v>97</v>
      </c>
      <c r="L45">
        <v>40</v>
      </c>
      <c r="M45">
        <v>3880</v>
      </c>
      <c r="N45" t="s">
        <v>30</v>
      </c>
    </row>
    <row r="46" spans="1:14" x14ac:dyDescent="0.2">
      <c r="A46">
        <v>449</v>
      </c>
      <c r="B46" t="s">
        <v>43</v>
      </c>
      <c r="C46" t="s">
        <v>42</v>
      </c>
      <c r="D46" s="30">
        <v>38099</v>
      </c>
      <c r="E46">
        <v>5310734203</v>
      </c>
      <c r="F46">
        <v>20</v>
      </c>
      <c r="G46" t="s">
        <v>73</v>
      </c>
      <c r="H46">
        <v>909</v>
      </c>
      <c r="I46" t="s">
        <v>24</v>
      </c>
      <c r="J46" t="s">
        <v>18</v>
      </c>
      <c r="K46">
        <v>21</v>
      </c>
      <c r="L46">
        <v>50</v>
      </c>
      <c r="M46">
        <v>1050</v>
      </c>
      <c r="N46" t="s">
        <v>30</v>
      </c>
    </row>
    <row r="47" spans="1:14" x14ac:dyDescent="0.2">
      <c r="A47">
        <v>448</v>
      </c>
      <c r="B47" t="s">
        <v>43</v>
      </c>
      <c r="C47" t="s">
        <v>42</v>
      </c>
      <c r="D47" s="30">
        <v>38090</v>
      </c>
      <c r="E47">
        <v>4774867535</v>
      </c>
      <c r="F47">
        <v>20</v>
      </c>
      <c r="G47" t="s">
        <v>73</v>
      </c>
      <c r="H47">
        <v>359</v>
      </c>
      <c r="I47" t="s">
        <v>17</v>
      </c>
      <c r="J47" t="s">
        <v>18</v>
      </c>
      <c r="K47">
        <v>36</v>
      </c>
      <c r="L47">
        <v>25</v>
      </c>
      <c r="M47">
        <v>900</v>
      </c>
      <c r="N47" t="s">
        <v>25</v>
      </c>
    </row>
    <row r="48" spans="1:14" x14ac:dyDescent="0.2">
      <c r="A48">
        <v>447</v>
      </c>
      <c r="B48" t="s">
        <v>43</v>
      </c>
      <c r="C48" t="s">
        <v>42</v>
      </c>
      <c r="D48" s="30">
        <v>38072</v>
      </c>
      <c r="E48">
        <v>8247971380</v>
      </c>
      <c r="F48">
        <v>20</v>
      </c>
      <c r="G48" t="s">
        <v>73</v>
      </c>
      <c r="H48">
        <v>454</v>
      </c>
      <c r="I48" t="s">
        <v>38</v>
      </c>
      <c r="J48" t="s">
        <v>18</v>
      </c>
      <c r="K48">
        <v>64</v>
      </c>
      <c r="L48">
        <v>15</v>
      </c>
      <c r="M48">
        <v>960</v>
      </c>
      <c r="N48" t="s">
        <v>19</v>
      </c>
    </row>
    <row r="49" spans="1:14" x14ac:dyDescent="0.2">
      <c r="A49">
        <v>446</v>
      </c>
      <c r="B49" t="s">
        <v>43</v>
      </c>
      <c r="C49" t="s">
        <v>42</v>
      </c>
      <c r="D49" s="30">
        <v>37964</v>
      </c>
      <c r="E49">
        <v>3665624202</v>
      </c>
      <c r="F49">
        <v>20</v>
      </c>
      <c r="G49" t="s">
        <v>73</v>
      </c>
      <c r="H49">
        <v>353</v>
      </c>
      <c r="I49" t="s">
        <v>22</v>
      </c>
      <c r="J49" t="s">
        <v>23</v>
      </c>
      <c r="K49">
        <v>34</v>
      </c>
      <c r="L49">
        <v>40</v>
      </c>
      <c r="M49">
        <v>1360</v>
      </c>
      <c r="N49" t="s">
        <v>30</v>
      </c>
    </row>
    <row r="50" spans="1:14" x14ac:dyDescent="0.2">
      <c r="A50">
        <v>445</v>
      </c>
      <c r="B50" t="s">
        <v>43</v>
      </c>
      <c r="C50" t="s">
        <v>42</v>
      </c>
      <c r="D50" s="30">
        <v>37172</v>
      </c>
      <c r="E50">
        <v>5310734203</v>
      </c>
      <c r="F50">
        <v>20</v>
      </c>
      <c r="G50" t="s">
        <v>73</v>
      </c>
      <c r="H50">
        <v>909</v>
      </c>
      <c r="I50" t="s">
        <v>24</v>
      </c>
      <c r="J50" t="s">
        <v>18</v>
      </c>
      <c r="K50">
        <v>83</v>
      </c>
      <c r="L50">
        <v>50</v>
      </c>
      <c r="M50">
        <v>4150</v>
      </c>
      <c r="N50" t="s">
        <v>30</v>
      </c>
    </row>
    <row r="51" spans="1:14" x14ac:dyDescent="0.2">
      <c r="A51">
        <v>444</v>
      </c>
      <c r="B51" t="s">
        <v>43</v>
      </c>
      <c r="C51" t="s">
        <v>42</v>
      </c>
      <c r="D51" s="30">
        <v>37163</v>
      </c>
      <c r="E51">
        <v>4774867535</v>
      </c>
      <c r="F51">
        <v>20</v>
      </c>
      <c r="G51" t="s">
        <v>73</v>
      </c>
      <c r="H51">
        <v>359</v>
      </c>
      <c r="I51" t="s">
        <v>17</v>
      </c>
      <c r="J51" t="s">
        <v>18</v>
      </c>
      <c r="K51">
        <v>38</v>
      </c>
      <c r="L51">
        <v>25</v>
      </c>
      <c r="M51">
        <v>950</v>
      </c>
      <c r="N51" t="s">
        <v>25</v>
      </c>
    </row>
    <row r="52" spans="1:14" x14ac:dyDescent="0.2">
      <c r="A52">
        <v>443</v>
      </c>
      <c r="B52" t="s">
        <v>43</v>
      </c>
      <c r="C52" t="s">
        <v>42</v>
      </c>
      <c r="D52" s="30">
        <v>37145</v>
      </c>
      <c r="E52">
        <v>8247971380</v>
      </c>
      <c r="F52">
        <v>20</v>
      </c>
      <c r="G52" t="s">
        <v>73</v>
      </c>
      <c r="H52">
        <v>454</v>
      </c>
      <c r="I52" t="s">
        <v>38</v>
      </c>
      <c r="J52" t="s">
        <v>18</v>
      </c>
      <c r="K52">
        <v>12</v>
      </c>
      <c r="L52">
        <v>15</v>
      </c>
      <c r="M52">
        <v>180</v>
      </c>
      <c r="N52" t="s">
        <v>19</v>
      </c>
    </row>
    <row r="53" spans="1:14" x14ac:dyDescent="0.2">
      <c r="A53">
        <v>442</v>
      </c>
      <c r="B53" t="s">
        <v>43</v>
      </c>
      <c r="C53" t="s">
        <v>42</v>
      </c>
      <c r="D53" s="30">
        <v>37037</v>
      </c>
      <c r="E53">
        <v>3665624202</v>
      </c>
      <c r="F53">
        <v>20</v>
      </c>
      <c r="G53" t="s">
        <v>73</v>
      </c>
      <c r="H53">
        <v>353</v>
      </c>
      <c r="I53" t="s">
        <v>22</v>
      </c>
      <c r="J53" t="s">
        <v>23</v>
      </c>
      <c r="K53">
        <v>48</v>
      </c>
      <c r="L53">
        <v>40</v>
      </c>
      <c r="M53">
        <v>1920</v>
      </c>
      <c r="N53" t="s">
        <v>30</v>
      </c>
    </row>
    <row r="54" spans="1:14" x14ac:dyDescent="0.2">
      <c r="A54">
        <v>441</v>
      </c>
      <c r="B54" t="s">
        <v>43</v>
      </c>
      <c r="C54" t="s">
        <v>42</v>
      </c>
      <c r="D54" s="30">
        <v>36245</v>
      </c>
      <c r="E54">
        <v>5310734203</v>
      </c>
      <c r="F54">
        <v>20</v>
      </c>
      <c r="G54" t="s">
        <v>73</v>
      </c>
      <c r="H54">
        <v>909</v>
      </c>
      <c r="I54" t="s">
        <v>24</v>
      </c>
      <c r="J54" t="s">
        <v>18</v>
      </c>
      <c r="K54">
        <v>57</v>
      </c>
      <c r="L54">
        <v>50</v>
      </c>
      <c r="M54">
        <v>2850</v>
      </c>
      <c r="N54" t="s">
        <v>30</v>
      </c>
    </row>
    <row r="55" spans="1:14" x14ac:dyDescent="0.2">
      <c r="A55">
        <v>440</v>
      </c>
      <c r="B55" t="s">
        <v>43</v>
      </c>
      <c r="C55" t="s">
        <v>42</v>
      </c>
      <c r="D55" s="30">
        <v>36236</v>
      </c>
      <c r="E55">
        <v>4774867535</v>
      </c>
      <c r="F55">
        <v>20</v>
      </c>
      <c r="G55" t="s">
        <v>73</v>
      </c>
      <c r="H55">
        <v>359</v>
      </c>
      <c r="I55" t="s">
        <v>17</v>
      </c>
      <c r="J55" t="s">
        <v>18</v>
      </c>
      <c r="K55">
        <v>69</v>
      </c>
      <c r="L55">
        <v>25</v>
      </c>
      <c r="M55">
        <v>1725</v>
      </c>
      <c r="N55" t="s">
        <v>25</v>
      </c>
    </row>
    <row r="56" spans="1:14" x14ac:dyDescent="0.2">
      <c r="A56">
        <v>439</v>
      </c>
      <c r="B56" t="s">
        <v>43</v>
      </c>
      <c r="C56" t="s">
        <v>42</v>
      </c>
      <c r="D56" s="30">
        <v>36218</v>
      </c>
      <c r="E56">
        <v>8247971380</v>
      </c>
      <c r="F56">
        <v>20</v>
      </c>
      <c r="G56" t="s">
        <v>73</v>
      </c>
      <c r="H56">
        <v>454</v>
      </c>
      <c r="I56" t="s">
        <v>38</v>
      </c>
      <c r="J56" t="s">
        <v>18</v>
      </c>
      <c r="K56">
        <v>93</v>
      </c>
      <c r="L56">
        <v>15</v>
      </c>
      <c r="M56">
        <v>1395</v>
      </c>
      <c r="N56" t="s">
        <v>19</v>
      </c>
    </row>
    <row r="57" spans="1:14" x14ac:dyDescent="0.2">
      <c r="A57">
        <v>438</v>
      </c>
      <c r="B57" t="s">
        <v>43</v>
      </c>
      <c r="C57" t="s">
        <v>42</v>
      </c>
      <c r="D57" s="30">
        <v>36110</v>
      </c>
      <c r="E57">
        <v>3665624202</v>
      </c>
      <c r="F57">
        <v>20</v>
      </c>
      <c r="G57" t="s">
        <v>73</v>
      </c>
      <c r="H57">
        <v>353</v>
      </c>
      <c r="I57" t="s">
        <v>22</v>
      </c>
      <c r="J57" t="s">
        <v>23</v>
      </c>
      <c r="K57">
        <v>71</v>
      </c>
      <c r="L57">
        <v>40</v>
      </c>
      <c r="M57">
        <v>2840</v>
      </c>
      <c r="N57" t="s">
        <v>30</v>
      </c>
    </row>
    <row r="58" spans="1:14" x14ac:dyDescent="0.2">
      <c r="A58">
        <v>437</v>
      </c>
      <c r="B58" t="s">
        <v>43</v>
      </c>
      <c r="C58" t="s">
        <v>42</v>
      </c>
      <c r="D58" s="30">
        <v>35318</v>
      </c>
      <c r="E58">
        <v>5310734203</v>
      </c>
      <c r="F58">
        <v>20</v>
      </c>
      <c r="G58" t="s">
        <v>73</v>
      </c>
      <c r="H58">
        <v>909</v>
      </c>
      <c r="I58" t="s">
        <v>24</v>
      </c>
      <c r="J58" t="s">
        <v>18</v>
      </c>
      <c r="K58">
        <v>24</v>
      </c>
      <c r="L58">
        <v>50</v>
      </c>
      <c r="M58">
        <v>1200</v>
      </c>
      <c r="N58" t="s">
        <v>30</v>
      </c>
    </row>
    <row r="59" spans="1:14" x14ac:dyDescent="0.2">
      <c r="A59">
        <v>436</v>
      </c>
      <c r="B59" t="s">
        <v>43</v>
      </c>
      <c r="C59" t="s">
        <v>42</v>
      </c>
      <c r="D59" s="30">
        <v>35309</v>
      </c>
      <c r="E59">
        <v>4774867535</v>
      </c>
      <c r="F59">
        <v>20</v>
      </c>
      <c r="G59" t="s">
        <v>73</v>
      </c>
      <c r="H59">
        <v>359</v>
      </c>
      <c r="I59" t="s">
        <v>17</v>
      </c>
      <c r="J59" t="s">
        <v>18</v>
      </c>
      <c r="K59">
        <v>58</v>
      </c>
      <c r="L59">
        <v>25</v>
      </c>
      <c r="M59">
        <v>1450</v>
      </c>
      <c r="N59" t="s">
        <v>25</v>
      </c>
    </row>
    <row r="60" spans="1:14" x14ac:dyDescent="0.2">
      <c r="A60">
        <v>435</v>
      </c>
      <c r="B60" t="s">
        <v>43</v>
      </c>
      <c r="C60" t="s">
        <v>42</v>
      </c>
      <c r="D60" s="30">
        <v>35291</v>
      </c>
      <c r="E60">
        <v>8247971380</v>
      </c>
      <c r="F60">
        <v>20</v>
      </c>
      <c r="G60" t="s">
        <v>73</v>
      </c>
      <c r="H60">
        <v>454</v>
      </c>
      <c r="I60" t="s">
        <v>38</v>
      </c>
      <c r="J60" t="s">
        <v>18</v>
      </c>
      <c r="K60">
        <v>49</v>
      </c>
      <c r="L60">
        <v>15</v>
      </c>
      <c r="M60">
        <v>735</v>
      </c>
      <c r="N60" t="s">
        <v>19</v>
      </c>
    </row>
    <row r="61" spans="1:14" x14ac:dyDescent="0.2">
      <c r="A61">
        <v>434</v>
      </c>
      <c r="B61" t="s">
        <v>43</v>
      </c>
      <c r="C61" t="s">
        <v>42</v>
      </c>
      <c r="D61" s="30">
        <v>35183</v>
      </c>
      <c r="E61">
        <v>3665624202</v>
      </c>
      <c r="F61">
        <v>20</v>
      </c>
      <c r="G61" t="s">
        <v>73</v>
      </c>
      <c r="H61">
        <v>353</v>
      </c>
      <c r="I61" t="s">
        <v>22</v>
      </c>
      <c r="J61" t="s">
        <v>23</v>
      </c>
      <c r="K61">
        <v>19</v>
      </c>
      <c r="L61">
        <v>40</v>
      </c>
      <c r="M61">
        <v>760</v>
      </c>
      <c r="N61" t="s">
        <v>30</v>
      </c>
    </row>
    <row r="62" spans="1:14" x14ac:dyDescent="0.2">
      <c r="A62">
        <v>433</v>
      </c>
      <c r="B62" t="s">
        <v>41</v>
      </c>
      <c r="C62" t="s">
        <v>42</v>
      </c>
      <c r="D62" s="30">
        <v>40259</v>
      </c>
      <c r="E62">
        <v>532970443</v>
      </c>
      <c r="F62">
        <v>20</v>
      </c>
      <c r="G62" t="s">
        <v>73</v>
      </c>
      <c r="H62">
        <v>195</v>
      </c>
      <c r="I62" t="s">
        <v>36</v>
      </c>
      <c r="J62" t="s">
        <v>18</v>
      </c>
      <c r="K62">
        <v>12</v>
      </c>
      <c r="L62">
        <v>60</v>
      </c>
      <c r="M62">
        <v>720</v>
      </c>
      <c r="N62" t="s">
        <v>25</v>
      </c>
    </row>
    <row r="63" spans="1:14" x14ac:dyDescent="0.2">
      <c r="A63">
        <v>432</v>
      </c>
      <c r="B63" t="s">
        <v>41</v>
      </c>
      <c r="C63" t="s">
        <v>42</v>
      </c>
      <c r="D63" s="30">
        <v>40223</v>
      </c>
      <c r="E63">
        <v>9942718595</v>
      </c>
      <c r="F63">
        <v>20</v>
      </c>
      <c r="G63" t="s">
        <v>73</v>
      </c>
      <c r="H63">
        <v>240</v>
      </c>
      <c r="I63" t="s">
        <v>17</v>
      </c>
      <c r="J63" t="s">
        <v>18</v>
      </c>
      <c r="K63">
        <v>49</v>
      </c>
      <c r="L63">
        <v>45</v>
      </c>
      <c r="M63">
        <v>2205</v>
      </c>
      <c r="N63" t="s">
        <v>19</v>
      </c>
    </row>
    <row r="64" spans="1:14" x14ac:dyDescent="0.2">
      <c r="A64">
        <v>431</v>
      </c>
      <c r="B64" t="s">
        <v>41</v>
      </c>
      <c r="C64" t="s">
        <v>42</v>
      </c>
      <c r="D64" s="30">
        <v>39332</v>
      </c>
      <c r="E64">
        <v>532970443</v>
      </c>
      <c r="F64">
        <v>20</v>
      </c>
      <c r="G64" t="s">
        <v>73</v>
      </c>
      <c r="H64">
        <v>195</v>
      </c>
      <c r="I64" t="s">
        <v>36</v>
      </c>
      <c r="J64" t="s">
        <v>18</v>
      </c>
      <c r="K64">
        <v>52</v>
      </c>
      <c r="L64">
        <v>60</v>
      </c>
      <c r="M64">
        <v>3120</v>
      </c>
      <c r="N64" t="s">
        <v>25</v>
      </c>
    </row>
    <row r="65" spans="1:14" x14ac:dyDescent="0.2">
      <c r="A65">
        <v>430</v>
      </c>
      <c r="B65" t="s">
        <v>41</v>
      </c>
      <c r="C65" t="s">
        <v>42</v>
      </c>
      <c r="D65" s="30">
        <v>39296</v>
      </c>
      <c r="E65">
        <v>9942718595</v>
      </c>
      <c r="F65">
        <v>20</v>
      </c>
      <c r="G65" t="s">
        <v>73</v>
      </c>
      <c r="H65">
        <v>240</v>
      </c>
      <c r="I65" t="s">
        <v>17</v>
      </c>
      <c r="J65" t="s">
        <v>18</v>
      </c>
      <c r="K65">
        <v>19</v>
      </c>
      <c r="L65">
        <v>45</v>
      </c>
      <c r="M65">
        <v>855</v>
      </c>
      <c r="N65" t="s">
        <v>19</v>
      </c>
    </row>
    <row r="66" spans="1:14" x14ac:dyDescent="0.2">
      <c r="A66">
        <v>429</v>
      </c>
      <c r="B66" t="s">
        <v>41</v>
      </c>
      <c r="C66" t="s">
        <v>42</v>
      </c>
      <c r="D66" s="30">
        <v>38405</v>
      </c>
      <c r="E66">
        <v>532970443</v>
      </c>
      <c r="F66">
        <v>20</v>
      </c>
      <c r="G66" t="s">
        <v>73</v>
      </c>
      <c r="H66">
        <v>195</v>
      </c>
      <c r="I66" t="s">
        <v>36</v>
      </c>
      <c r="J66" t="s">
        <v>18</v>
      </c>
      <c r="K66">
        <v>38</v>
      </c>
      <c r="L66">
        <v>60</v>
      </c>
      <c r="M66">
        <v>2280</v>
      </c>
      <c r="N66" t="s">
        <v>25</v>
      </c>
    </row>
    <row r="67" spans="1:14" x14ac:dyDescent="0.2">
      <c r="A67">
        <v>428</v>
      </c>
      <c r="B67" t="s">
        <v>41</v>
      </c>
      <c r="C67" t="s">
        <v>42</v>
      </c>
      <c r="D67" s="30">
        <v>38369</v>
      </c>
      <c r="E67">
        <v>9942718595</v>
      </c>
      <c r="F67">
        <v>20</v>
      </c>
      <c r="G67" t="s">
        <v>73</v>
      </c>
      <c r="H67">
        <v>240</v>
      </c>
      <c r="I67" t="s">
        <v>17</v>
      </c>
      <c r="J67" t="s">
        <v>18</v>
      </c>
      <c r="K67">
        <v>15</v>
      </c>
      <c r="L67">
        <v>45</v>
      </c>
      <c r="M67">
        <v>675</v>
      </c>
      <c r="N67" t="s">
        <v>19</v>
      </c>
    </row>
    <row r="68" spans="1:14" x14ac:dyDescent="0.2">
      <c r="A68">
        <v>427</v>
      </c>
      <c r="B68" t="s">
        <v>41</v>
      </c>
      <c r="C68" t="s">
        <v>42</v>
      </c>
      <c r="D68" s="30">
        <v>37478</v>
      </c>
      <c r="E68">
        <v>532970443</v>
      </c>
      <c r="F68">
        <v>20</v>
      </c>
      <c r="G68" t="s">
        <v>73</v>
      </c>
      <c r="H68">
        <v>195</v>
      </c>
      <c r="I68" t="s">
        <v>36</v>
      </c>
      <c r="J68" t="s">
        <v>18</v>
      </c>
      <c r="K68">
        <v>56</v>
      </c>
      <c r="L68">
        <v>60</v>
      </c>
      <c r="M68">
        <v>3360</v>
      </c>
      <c r="N68" t="s">
        <v>25</v>
      </c>
    </row>
    <row r="69" spans="1:14" x14ac:dyDescent="0.2">
      <c r="A69">
        <v>426</v>
      </c>
      <c r="B69" t="s">
        <v>41</v>
      </c>
      <c r="C69" t="s">
        <v>42</v>
      </c>
      <c r="D69" s="30">
        <v>37442</v>
      </c>
      <c r="E69">
        <v>9942718595</v>
      </c>
      <c r="F69">
        <v>35</v>
      </c>
      <c r="G69" t="s">
        <v>72</v>
      </c>
      <c r="H69">
        <v>240</v>
      </c>
      <c r="I69" t="s">
        <v>17</v>
      </c>
      <c r="J69" t="s">
        <v>18</v>
      </c>
      <c r="K69">
        <v>98</v>
      </c>
      <c r="L69">
        <v>45</v>
      </c>
      <c r="M69">
        <v>4410</v>
      </c>
      <c r="N69" t="s">
        <v>19</v>
      </c>
    </row>
    <row r="70" spans="1:14" x14ac:dyDescent="0.2">
      <c r="A70">
        <v>425</v>
      </c>
      <c r="B70" t="s">
        <v>41</v>
      </c>
      <c r="C70" t="s">
        <v>42</v>
      </c>
      <c r="D70" s="30">
        <v>36551</v>
      </c>
      <c r="E70">
        <v>532970443</v>
      </c>
      <c r="F70">
        <v>35</v>
      </c>
      <c r="G70" t="s">
        <v>72</v>
      </c>
      <c r="H70">
        <v>195</v>
      </c>
      <c r="I70" t="s">
        <v>36</v>
      </c>
      <c r="J70" t="s">
        <v>18</v>
      </c>
      <c r="K70">
        <v>94</v>
      </c>
      <c r="L70">
        <v>60</v>
      </c>
      <c r="M70">
        <v>5640</v>
      </c>
      <c r="N70" t="s">
        <v>25</v>
      </c>
    </row>
    <row r="71" spans="1:14" x14ac:dyDescent="0.2">
      <c r="A71">
        <v>424</v>
      </c>
      <c r="B71" t="s">
        <v>41</v>
      </c>
      <c r="C71" t="s">
        <v>42</v>
      </c>
      <c r="D71" s="30">
        <v>36515</v>
      </c>
      <c r="E71">
        <v>9942718595</v>
      </c>
      <c r="F71">
        <v>35</v>
      </c>
      <c r="G71" t="s">
        <v>72</v>
      </c>
      <c r="H71">
        <v>240</v>
      </c>
      <c r="I71" t="s">
        <v>17</v>
      </c>
      <c r="J71" t="s">
        <v>18</v>
      </c>
      <c r="K71">
        <v>42</v>
      </c>
      <c r="L71">
        <v>45</v>
      </c>
      <c r="M71">
        <v>1890</v>
      </c>
      <c r="N71" t="s">
        <v>19</v>
      </c>
    </row>
    <row r="72" spans="1:14" x14ac:dyDescent="0.2">
      <c r="A72">
        <v>423</v>
      </c>
      <c r="B72" t="s">
        <v>41</v>
      </c>
      <c r="C72" t="s">
        <v>42</v>
      </c>
      <c r="D72" s="30">
        <v>35624</v>
      </c>
      <c r="E72">
        <v>532970443</v>
      </c>
      <c r="F72">
        <v>35</v>
      </c>
      <c r="G72" t="s">
        <v>72</v>
      </c>
      <c r="H72">
        <v>195</v>
      </c>
      <c r="I72" t="s">
        <v>36</v>
      </c>
      <c r="J72" t="s">
        <v>18</v>
      </c>
      <c r="K72">
        <v>88</v>
      </c>
      <c r="L72">
        <v>60</v>
      </c>
      <c r="M72">
        <v>5280</v>
      </c>
      <c r="N72" t="s">
        <v>25</v>
      </c>
    </row>
    <row r="73" spans="1:14" x14ac:dyDescent="0.2">
      <c r="A73">
        <v>422</v>
      </c>
      <c r="B73" t="s">
        <v>41</v>
      </c>
      <c r="C73" t="s">
        <v>42</v>
      </c>
      <c r="D73" s="30">
        <v>35588</v>
      </c>
      <c r="E73">
        <v>9942718595</v>
      </c>
      <c r="F73">
        <v>35</v>
      </c>
      <c r="G73" t="s">
        <v>72</v>
      </c>
      <c r="H73">
        <v>240</v>
      </c>
      <c r="I73" t="s">
        <v>17</v>
      </c>
      <c r="J73" t="s">
        <v>18</v>
      </c>
      <c r="K73">
        <v>70</v>
      </c>
      <c r="L73">
        <v>45</v>
      </c>
      <c r="M73">
        <v>3150</v>
      </c>
      <c r="N73" t="s">
        <v>19</v>
      </c>
    </row>
    <row r="74" spans="1:14" x14ac:dyDescent="0.2">
      <c r="A74">
        <v>402</v>
      </c>
      <c r="B74" t="s">
        <v>67</v>
      </c>
      <c r="C74" t="s">
        <v>42</v>
      </c>
      <c r="D74" s="30">
        <v>40088</v>
      </c>
      <c r="E74">
        <v>5837837052</v>
      </c>
      <c r="F74">
        <v>24</v>
      </c>
      <c r="G74" t="s">
        <v>66</v>
      </c>
      <c r="H74">
        <v>534</v>
      </c>
      <c r="I74" t="s">
        <v>17</v>
      </c>
      <c r="J74" t="s">
        <v>18</v>
      </c>
      <c r="K74">
        <v>72</v>
      </c>
      <c r="L74">
        <v>25</v>
      </c>
      <c r="M74">
        <v>1800</v>
      </c>
      <c r="N74" t="s">
        <v>19</v>
      </c>
    </row>
    <row r="75" spans="1:14" x14ac:dyDescent="0.2">
      <c r="A75">
        <v>401</v>
      </c>
      <c r="B75" t="s">
        <v>67</v>
      </c>
      <c r="C75" t="s">
        <v>42</v>
      </c>
      <c r="D75" s="30">
        <v>39161</v>
      </c>
      <c r="E75">
        <v>5837837052</v>
      </c>
      <c r="F75">
        <v>24</v>
      </c>
      <c r="G75" t="s">
        <v>66</v>
      </c>
      <c r="H75">
        <v>534</v>
      </c>
      <c r="I75" t="s">
        <v>17</v>
      </c>
      <c r="J75" t="s">
        <v>18</v>
      </c>
      <c r="K75">
        <v>70</v>
      </c>
      <c r="L75">
        <v>25</v>
      </c>
      <c r="M75">
        <v>1750</v>
      </c>
      <c r="N75" t="s">
        <v>19</v>
      </c>
    </row>
    <row r="76" spans="1:14" x14ac:dyDescent="0.2">
      <c r="A76">
        <v>400</v>
      </c>
      <c r="B76" t="s">
        <v>67</v>
      </c>
      <c r="C76" t="s">
        <v>42</v>
      </c>
      <c r="D76" s="30">
        <v>38234</v>
      </c>
      <c r="E76">
        <v>5837837052</v>
      </c>
      <c r="F76">
        <v>24</v>
      </c>
      <c r="G76" t="s">
        <v>66</v>
      </c>
      <c r="H76">
        <v>534</v>
      </c>
      <c r="I76" t="s">
        <v>17</v>
      </c>
      <c r="J76" t="s">
        <v>18</v>
      </c>
      <c r="K76">
        <v>83</v>
      </c>
      <c r="L76">
        <v>25</v>
      </c>
      <c r="M76">
        <v>2075</v>
      </c>
      <c r="N76" t="s">
        <v>19</v>
      </c>
    </row>
    <row r="77" spans="1:14" x14ac:dyDescent="0.2">
      <c r="A77">
        <v>399</v>
      </c>
      <c r="B77" t="s">
        <v>67</v>
      </c>
      <c r="C77" t="s">
        <v>42</v>
      </c>
      <c r="D77" s="30">
        <v>37307</v>
      </c>
      <c r="E77">
        <v>5837837052</v>
      </c>
      <c r="F77">
        <v>24</v>
      </c>
      <c r="G77" t="s">
        <v>66</v>
      </c>
      <c r="H77">
        <v>534</v>
      </c>
      <c r="I77" t="s">
        <v>17</v>
      </c>
      <c r="J77" t="s">
        <v>18</v>
      </c>
      <c r="K77">
        <v>86</v>
      </c>
      <c r="L77">
        <v>25</v>
      </c>
      <c r="M77">
        <v>2150</v>
      </c>
      <c r="N77" t="s">
        <v>19</v>
      </c>
    </row>
    <row r="78" spans="1:14" x14ac:dyDescent="0.2">
      <c r="A78">
        <v>398</v>
      </c>
      <c r="B78" t="s">
        <v>67</v>
      </c>
      <c r="C78" t="s">
        <v>42</v>
      </c>
      <c r="D78" s="30">
        <v>36380</v>
      </c>
      <c r="E78">
        <v>5837837052</v>
      </c>
      <c r="F78">
        <v>24</v>
      </c>
      <c r="G78" t="s">
        <v>66</v>
      </c>
      <c r="H78">
        <v>534</v>
      </c>
      <c r="I78" t="s">
        <v>17</v>
      </c>
      <c r="J78" t="s">
        <v>18</v>
      </c>
      <c r="K78">
        <v>22</v>
      </c>
      <c r="L78">
        <v>25</v>
      </c>
      <c r="M78">
        <v>550</v>
      </c>
      <c r="N78" t="s">
        <v>19</v>
      </c>
    </row>
    <row r="79" spans="1:14" x14ac:dyDescent="0.2">
      <c r="A79">
        <v>397</v>
      </c>
      <c r="B79" t="s">
        <v>67</v>
      </c>
      <c r="C79" t="s">
        <v>42</v>
      </c>
      <c r="D79" s="30">
        <v>35453</v>
      </c>
      <c r="E79">
        <v>5837837052</v>
      </c>
      <c r="F79">
        <v>24</v>
      </c>
      <c r="G79" t="s">
        <v>66</v>
      </c>
      <c r="H79">
        <v>534</v>
      </c>
      <c r="I79" t="s">
        <v>17</v>
      </c>
      <c r="J79" t="s">
        <v>18</v>
      </c>
      <c r="K79">
        <v>48</v>
      </c>
      <c r="L79">
        <v>25</v>
      </c>
      <c r="M79">
        <v>1200</v>
      </c>
      <c r="N79" t="s">
        <v>19</v>
      </c>
    </row>
    <row r="80" spans="1:14" x14ac:dyDescent="0.2">
      <c r="A80">
        <v>396</v>
      </c>
      <c r="B80" t="s">
        <v>43</v>
      </c>
      <c r="C80" t="s">
        <v>42</v>
      </c>
      <c r="D80" s="30">
        <v>39890</v>
      </c>
      <c r="E80">
        <v>1043865388</v>
      </c>
      <c r="F80">
        <v>24</v>
      </c>
      <c r="G80" t="s">
        <v>66</v>
      </c>
      <c r="H80">
        <v>521</v>
      </c>
      <c r="I80" t="s">
        <v>22</v>
      </c>
      <c r="J80" t="s">
        <v>23</v>
      </c>
      <c r="K80">
        <v>86</v>
      </c>
      <c r="L80">
        <v>30</v>
      </c>
      <c r="M80">
        <v>2580</v>
      </c>
      <c r="N80" t="s">
        <v>25</v>
      </c>
    </row>
    <row r="81" spans="1:14" x14ac:dyDescent="0.2">
      <c r="A81">
        <v>395</v>
      </c>
      <c r="B81" t="s">
        <v>43</v>
      </c>
      <c r="C81" t="s">
        <v>42</v>
      </c>
      <c r="D81" s="30">
        <v>38963</v>
      </c>
      <c r="E81">
        <v>1043865388</v>
      </c>
      <c r="F81">
        <v>24</v>
      </c>
      <c r="G81" t="s">
        <v>66</v>
      </c>
      <c r="H81">
        <v>521</v>
      </c>
      <c r="I81" t="s">
        <v>22</v>
      </c>
      <c r="J81" t="s">
        <v>23</v>
      </c>
      <c r="K81">
        <v>93</v>
      </c>
      <c r="L81">
        <v>30</v>
      </c>
      <c r="M81">
        <v>2790</v>
      </c>
      <c r="N81" t="s">
        <v>25</v>
      </c>
    </row>
    <row r="82" spans="1:14" x14ac:dyDescent="0.2">
      <c r="A82">
        <v>394</v>
      </c>
      <c r="B82" t="s">
        <v>43</v>
      </c>
      <c r="C82" t="s">
        <v>42</v>
      </c>
      <c r="D82" s="30">
        <v>38036</v>
      </c>
      <c r="E82">
        <v>1043865388</v>
      </c>
      <c r="F82">
        <v>24</v>
      </c>
      <c r="G82" t="s">
        <v>66</v>
      </c>
      <c r="H82">
        <v>521</v>
      </c>
      <c r="I82" t="s">
        <v>22</v>
      </c>
      <c r="J82" t="s">
        <v>23</v>
      </c>
      <c r="K82">
        <v>84</v>
      </c>
      <c r="L82">
        <v>30</v>
      </c>
      <c r="M82">
        <v>2520</v>
      </c>
      <c r="N82" t="s">
        <v>25</v>
      </c>
    </row>
    <row r="83" spans="1:14" x14ac:dyDescent="0.2">
      <c r="A83">
        <v>393</v>
      </c>
      <c r="B83" t="s">
        <v>43</v>
      </c>
      <c r="C83" t="s">
        <v>42</v>
      </c>
      <c r="D83" s="30">
        <v>37109</v>
      </c>
      <c r="E83">
        <v>1043865388</v>
      </c>
      <c r="F83">
        <v>24</v>
      </c>
      <c r="G83" t="s">
        <v>66</v>
      </c>
      <c r="H83">
        <v>521</v>
      </c>
      <c r="I83" t="s">
        <v>22</v>
      </c>
      <c r="J83" t="s">
        <v>23</v>
      </c>
      <c r="K83">
        <v>57</v>
      </c>
      <c r="L83">
        <v>30</v>
      </c>
      <c r="M83">
        <v>1710</v>
      </c>
      <c r="N83" t="s">
        <v>25</v>
      </c>
    </row>
    <row r="84" spans="1:14" x14ac:dyDescent="0.2">
      <c r="A84">
        <v>392</v>
      </c>
      <c r="B84" t="s">
        <v>43</v>
      </c>
      <c r="C84" t="s">
        <v>42</v>
      </c>
      <c r="D84" s="30">
        <v>36182</v>
      </c>
      <c r="E84">
        <v>1043865388</v>
      </c>
      <c r="F84">
        <v>24</v>
      </c>
      <c r="G84" t="s">
        <v>66</v>
      </c>
      <c r="H84">
        <v>521</v>
      </c>
      <c r="I84" t="s">
        <v>22</v>
      </c>
      <c r="J84" t="s">
        <v>23</v>
      </c>
      <c r="K84">
        <v>73</v>
      </c>
      <c r="L84">
        <v>30</v>
      </c>
      <c r="M84">
        <v>2190</v>
      </c>
      <c r="N84" t="s">
        <v>25</v>
      </c>
    </row>
    <row r="85" spans="1:14" x14ac:dyDescent="0.2">
      <c r="A85">
        <v>391</v>
      </c>
      <c r="B85" t="s">
        <v>43</v>
      </c>
      <c r="C85" t="s">
        <v>42</v>
      </c>
      <c r="D85" s="30">
        <v>35255</v>
      </c>
      <c r="E85">
        <v>1043865388</v>
      </c>
      <c r="F85">
        <v>34</v>
      </c>
      <c r="G85" t="s">
        <v>65</v>
      </c>
      <c r="H85">
        <v>521</v>
      </c>
      <c r="I85" t="s">
        <v>22</v>
      </c>
      <c r="J85" t="s">
        <v>23</v>
      </c>
      <c r="K85">
        <v>39</v>
      </c>
      <c r="L85">
        <v>30</v>
      </c>
      <c r="M85">
        <v>1170</v>
      </c>
      <c r="N85" t="s">
        <v>25</v>
      </c>
    </row>
    <row r="86" spans="1:14" x14ac:dyDescent="0.2">
      <c r="A86">
        <v>390</v>
      </c>
      <c r="B86" t="s">
        <v>41</v>
      </c>
      <c r="C86" t="s">
        <v>42</v>
      </c>
      <c r="D86" s="30">
        <v>40268</v>
      </c>
      <c r="E86">
        <v>8306821129</v>
      </c>
      <c r="F86">
        <v>34</v>
      </c>
      <c r="G86" t="s">
        <v>65</v>
      </c>
      <c r="H86">
        <v>195</v>
      </c>
      <c r="I86" t="s">
        <v>36</v>
      </c>
      <c r="J86" t="s">
        <v>18</v>
      </c>
      <c r="K86">
        <v>66</v>
      </c>
      <c r="L86">
        <v>60</v>
      </c>
      <c r="M86">
        <v>3960</v>
      </c>
      <c r="N86" t="s">
        <v>25</v>
      </c>
    </row>
    <row r="87" spans="1:14" x14ac:dyDescent="0.2">
      <c r="A87">
        <v>389</v>
      </c>
      <c r="B87" t="s">
        <v>41</v>
      </c>
      <c r="C87" t="s">
        <v>42</v>
      </c>
      <c r="D87" s="30">
        <v>40196</v>
      </c>
      <c r="E87">
        <v>2177541098</v>
      </c>
      <c r="F87">
        <v>34</v>
      </c>
      <c r="G87" t="s">
        <v>65</v>
      </c>
      <c r="H87">
        <v>896</v>
      </c>
      <c r="I87" t="s">
        <v>38</v>
      </c>
      <c r="J87" t="s">
        <v>18</v>
      </c>
      <c r="K87">
        <v>21</v>
      </c>
      <c r="L87">
        <v>15</v>
      </c>
      <c r="M87">
        <v>315</v>
      </c>
      <c r="N87" t="s">
        <v>25</v>
      </c>
    </row>
    <row r="88" spans="1:14" x14ac:dyDescent="0.2">
      <c r="A88">
        <v>388</v>
      </c>
      <c r="B88" t="s">
        <v>41</v>
      </c>
      <c r="C88" t="s">
        <v>42</v>
      </c>
      <c r="D88" s="30">
        <v>39341</v>
      </c>
      <c r="E88">
        <v>8306821129</v>
      </c>
      <c r="F88">
        <v>34</v>
      </c>
      <c r="G88" t="s">
        <v>65</v>
      </c>
      <c r="H88">
        <v>195</v>
      </c>
      <c r="I88" t="s">
        <v>36</v>
      </c>
      <c r="J88" t="s">
        <v>18</v>
      </c>
      <c r="K88">
        <v>61</v>
      </c>
      <c r="L88">
        <v>60</v>
      </c>
      <c r="M88">
        <v>3660</v>
      </c>
      <c r="N88" t="s">
        <v>25</v>
      </c>
    </row>
    <row r="89" spans="1:14" x14ac:dyDescent="0.2">
      <c r="A89">
        <v>387</v>
      </c>
      <c r="B89" t="s">
        <v>41</v>
      </c>
      <c r="C89" t="s">
        <v>42</v>
      </c>
      <c r="D89" s="30">
        <v>39269</v>
      </c>
      <c r="E89">
        <v>2177541098</v>
      </c>
      <c r="F89">
        <v>34</v>
      </c>
      <c r="G89" t="s">
        <v>65</v>
      </c>
      <c r="H89">
        <v>896</v>
      </c>
      <c r="I89" t="s">
        <v>38</v>
      </c>
      <c r="J89" t="s">
        <v>18</v>
      </c>
      <c r="K89">
        <v>58</v>
      </c>
      <c r="L89">
        <v>15</v>
      </c>
      <c r="M89">
        <v>870</v>
      </c>
      <c r="N89" t="s">
        <v>25</v>
      </c>
    </row>
    <row r="90" spans="1:14" x14ac:dyDescent="0.2">
      <c r="A90">
        <v>386</v>
      </c>
      <c r="B90" t="s">
        <v>41</v>
      </c>
      <c r="C90" t="s">
        <v>42</v>
      </c>
      <c r="D90" s="30">
        <v>38414</v>
      </c>
      <c r="E90">
        <v>8306821129</v>
      </c>
      <c r="F90">
        <v>34</v>
      </c>
      <c r="G90" t="s">
        <v>65</v>
      </c>
      <c r="H90">
        <v>195</v>
      </c>
      <c r="I90" t="s">
        <v>36</v>
      </c>
      <c r="J90" t="s">
        <v>18</v>
      </c>
      <c r="K90">
        <v>84</v>
      </c>
      <c r="L90">
        <v>60</v>
      </c>
      <c r="M90">
        <v>5040</v>
      </c>
      <c r="N90" t="s">
        <v>25</v>
      </c>
    </row>
    <row r="91" spans="1:14" x14ac:dyDescent="0.2">
      <c r="A91">
        <v>385</v>
      </c>
      <c r="B91" t="s">
        <v>41</v>
      </c>
      <c r="C91" t="s">
        <v>42</v>
      </c>
      <c r="D91" s="30">
        <v>38342</v>
      </c>
      <c r="E91">
        <v>2177541098</v>
      </c>
      <c r="F91">
        <v>34</v>
      </c>
      <c r="G91" t="s">
        <v>65</v>
      </c>
      <c r="H91">
        <v>896</v>
      </c>
      <c r="I91" t="s">
        <v>38</v>
      </c>
      <c r="J91" t="s">
        <v>18</v>
      </c>
      <c r="K91">
        <v>15</v>
      </c>
      <c r="L91">
        <v>15</v>
      </c>
      <c r="M91">
        <v>225</v>
      </c>
      <c r="N91" t="s">
        <v>25</v>
      </c>
    </row>
    <row r="92" spans="1:14" x14ac:dyDescent="0.2">
      <c r="A92">
        <v>384</v>
      </c>
      <c r="B92" t="s">
        <v>41</v>
      </c>
      <c r="C92" t="s">
        <v>42</v>
      </c>
      <c r="D92" s="30">
        <v>37487</v>
      </c>
      <c r="E92">
        <v>8306821129</v>
      </c>
      <c r="F92">
        <v>34</v>
      </c>
      <c r="G92" t="s">
        <v>65</v>
      </c>
      <c r="H92">
        <v>195</v>
      </c>
      <c r="I92" t="s">
        <v>36</v>
      </c>
      <c r="J92" t="s">
        <v>18</v>
      </c>
      <c r="K92">
        <v>41</v>
      </c>
      <c r="L92">
        <v>60</v>
      </c>
      <c r="M92">
        <v>2460</v>
      </c>
      <c r="N92" t="s">
        <v>25</v>
      </c>
    </row>
    <row r="93" spans="1:14" x14ac:dyDescent="0.2">
      <c r="A93">
        <v>383</v>
      </c>
      <c r="B93" t="s">
        <v>41</v>
      </c>
      <c r="C93" t="s">
        <v>42</v>
      </c>
      <c r="D93" s="30">
        <v>37415</v>
      </c>
      <c r="E93">
        <v>2177541098</v>
      </c>
      <c r="F93">
        <v>34</v>
      </c>
      <c r="G93" t="s">
        <v>65</v>
      </c>
      <c r="H93">
        <v>896</v>
      </c>
      <c r="I93" t="s">
        <v>38</v>
      </c>
      <c r="J93" t="s">
        <v>18</v>
      </c>
      <c r="K93">
        <v>66</v>
      </c>
      <c r="L93">
        <v>15</v>
      </c>
      <c r="M93">
        <v>990</v>
      </c>
      <c r="N93" t="s">
        <v>25</v>
      </c>
    </row>
    <row r="94" spans="1:14" x14ac:dyDescent="0.2">
      <c r="A94">
        <v>382</v>
      </c>
      <c r="B94" t="s">
        <v>41</v>
      </c>
      <c r="C94" t="s">
        <v>42</v>
      </c>
      <c r="D94" s="30">
        <v>36560</v>
      </c>
      <c r="E94">
        <v>8306821129</v>
      </c>
      <c r="F94">
        <v>34</v>
      </c>
      <c r="G94" t="s">
        <v>65</v>
      </c>
      <c r="H94">
        <v>195</v>
      </c>
      <c r="I94" t="s">
        <v>36</v>
      </c>
      <c r="J94" t="s">
        <v>18</v>
      </c>
      <c r="K94">
        <v>17</v>
      </c>
      <c r="L94">
        <v>60</v>
      </c>
      <c r="M94">
        <v>1020</v>
      </c>
      <c r="N94" t="s">
        <v>25</v>
      </c>
    </row>
    <row r="95" spans="1:14" x14ac:dyDescent="0.2">
      <c r="A95">
        <v>381</v>
      </c>
      <c r="B95" t="s">
        <v>41</v>
      </c>
      <c r="C95" t="s">
        <v>42</v>
      </c>
      <c r="D95" s="30">
        <v>36488</v>
      </c>
      <c r="E95">
        <v>2177541098</v>
      </c>
      <c r="F95">
        <v>34</v>
      </c>
      <c r="G95" t="s">
        <v>65</v>
      </c>
      <c r="H95">
        <v>896</v>
      </c>
      <c r="I95" t="s">
        <v>38</v>
      </c>
      <c r="J95" t="s">
        <v>18</v>
      </c>
      <c r="K95">
        <v>47</v>
      </c>
      <c r="L95">
        <v>15</v>
      </c>
      <c r="M95">
        <v>705</v>
      </c>
      <c r="N95" t="s">
        <v>25</v>
      </c>
    </row>
    <row r="96" spans="1:14" x14ac:dyDescent="0.2">
      <c r="A96">
        <v>380</v>
      </c>
      <c r="B96" t="s">
        <v>41</v>
      </c>
      <c r="C96" t="s">
        <v>42</v>
      </c>
      <c r="D96" s="30">
        <v>35633</v>
      </c>
      <c r="E96">
        <v>8306821129</v>
      </c>
      <c r="F96">
        <v>34</v>
      </c>
      <c r="G96" t="s">
        <v>65</v>
      </c>
      <c r="H96">
        <v>195</v>
      </c>
      <c r="I96" t="s">
        <v>36</v>
      </c>
      <c r="J96" t="s">
        <v>18</v>
      </c>
      <c r="K96">
        <v>27</v>
      </c>
      <c r="L96">
        <v>60</v>
      </c>
      <c r="M96">
        <v>1620</v>
      </c>
      <c r="N96" t="s">
        <v>25</v>
      </c>
    </row>
    <row r="97" spans="1:14" x14ac:dyDescent="0.2">
      <c r="A97">
        <v>379</v>
      </c>
      <c r="B97" t="s">
        <v>41</v>
      </c>
      <c r="C97" t="s">
        <v>42</v>
      </c>
      <c r="D97" s="30">
        <v>35561</v>
      </c>
      <c r="E97">
        <v>2177541098</v>
      </c>
      <c r="F97">
        <v>34</v>
      </c>
      <c r="G97" t="s">
        <v>65</v>
      </c>
      <c r="H97">
        <v>896</v>
      </c>
      <c r="I97" t="s">
        <v>38</v>
      </c>
      <c r="J97" t="s">
        <v>18</v>
      </c>
      <c r="K97">
        <v>93</v>
      </c>
      <c r="L97">
        <v>15</v>
      </c>
      <c r="M97">
        <v>1395</v>
      </c>
      <c r="N97" t="s">
        <v>25</v>
      </c>
    </row>
    <row r="98" spans="1:14" x14ac:dyDescent="0.2">
      <c r="A98">
        <v>97</v>
      </c>
      <c r="B98" t="s">
        <v>41</v>
      </c>
      <c r="C98" t="s">
        <v>42</v>
      </c>
      <c r="D98" s="30">
        <v>35597</v>
      </c>
      <c r="E98">
        <v>7972155665</v>
      </c>
      <c r="F98">
        <v>28</v>
      </c>
      <c r="G98" t="s">
        <v>27</v>
      </c>
      <c r="H98">
        <v>568</v>
      </c>
      <c r="I98" t="s">
        <v>28</v>
      </c>
      <c r="J98" t="s">
        <v>29</v>
      </c>
      <c r="K98">
        <v>98</v>
      </c>
      <c r="L98">
        <v>1</v>
      </c>
      <c r="M98">
        <v>98</v>
      </c>
      <c r="N98" t="s">
        <v>30</v>
      </c>
    </row>
    <row r="99" spans="1:14" x14ac:dyDescent="0.2">
      <c r="A99">
        <v>98</v>
      </c>
      <c r="B99" t="s">
        <v>41</v>
      </c>
      <c r="C99" t="s">
        <v>42</v>
      </c>
      <c r="D99" s="30">
        <v>36524</v>
      </c>
      <c r="E99">
        <v>7972155665</v>
      </c>
      <c r="F99">
        <v>28</v>
      </c>
      <c r="G99" t="s">
        <v>27</v>
      </c>
      <c r="H99">
        <v>568</v>
      </c>
      <c r="I99" t="s">
        <v>28</v>
      </c>
      <c r="J99" t="s">
        <v>29</v>
      </c>
      <c r="K99">
        <v>71</v>
      </c>
      <c r="L99">
        <v>1</v>
      </c>
      <c r="M99">
        <v>71</v>
      </c>
      <c r="N99" t="s">
        <v>30</v>
      </c>
    </row>
    <row r="100" spans="1:14" x14ac:dyDescent="0.2">
      <c r="A100">
        <v>99</v>
      </c>
      <c r="B100" t="s">
        <v>41</v>
      </c>
      <c r="C100" t="s">
        <v>42</v>
      </c>
      <c r="D100" s="30">
        <v>37451</v>
      </c>
      <c r="E100">
        <v>7972155665</v>
      </c>
      <c r="F100">
        <v>28</v>
      </c>
      <c r="G100" t="s">
        <v>27</v>
      </c>
      <c r="H100">
        <v>568</v>
      </c>
      <c r="I100" t="s">
        <v>28</v>
      </c>
      <c r="J100" t="s">
        <v>29</v>
      </c>
      <c r="K100">
        <v>87</v>
      </c>
      <c r="L100">
        <v>1</v>
      </c>
      <c r="M100">
        <v>87</v>
      </c>
      <c r="N100" t="s">
        <v>30</v>
      </c>
    </row>
    <row r="101" spans="1:14" x14ac:dyDescent="0.2">
      <c r="A101">
        <v>100</v>
      </c>
      <c r="B101" t="s">
        <v>41</v>
      </c>
      <c r="C101" t="s">
        <v>42</v>
      </c>
      <c r="D101" s="30">
        <v>38378</v>
      </c>
      <c r="E101">
        <v>7972155665</v>
      </c>
      <c r="F101">
        <v>28</v>
      </c>
      <c r="G101" t="s">
        <v>27</v>
      </c>
      <c r="H101">
        <v>568</v>
      </c>
      <c r="I101" t="s">
        <v>28</v>
      </c>
      <c r="J101" t="s">
        <v>29</v>
      </c>
      <c r="K101">
        <v>92</v>
      </c>
      <c r="L101">
        <v>1</v>
      </c>
      <c r="M101">
        <v>92</v>
      </c>
      <c r="N101" t="s">
        <v>30</v>
      </c>
    </row>
    <row r="102" spans="1:14" x14ac:dyDescent="0.2">
      <c r="A102">
        <v>101</v>
      </c>
      <c r="B102" t="s">
        <v>41</v>
      </c>
      <c r="C102" t="s">
        <v>42</v>
      </c>
      <c r="D102" s="30">
        <v>39305</v>
      </c>
      <c r="E102">
        <v>7972155665</v>
      </c>
      <c r="F102">
        <v>28</v>
      </c>
      <c r="G102" t="s">
        <v>27</v>
      </c>
      <c r="H102">
        <v>568</v>
      </c>
      <c r="I102" t="s">
        <v>28</v>
      </c>
      <c r="J102" t="s">
        <v>29</v>
      </c>
      <c r="K102">
        <v>25</v>
      </c>
      <c r="L102">
        <v>1</v>
      </c>
      <c r="M102">
        <v>25</v>
      </c>
      <c r="N102" t="s">
        <v>30</v>
      </c>
    </row>
    <row r="103" spans="1:14" x14ac:dyDescent="0.2">
      <c r="A103">
        <v>102</v>
      </c>
      <c r="B103" t="s">
        <v>41</v>
      </c>
      <c r="C103" t="s">
        <v>42</v>
      </c>
      <c r="D103" s="30">
        <v>40232</v>
      </c>
      <c r="E103">
        <v>7972155665</v>
      </c>
      <c r="F103">
        <v>28</v>
      </c>
      <c r="G103" t="s">
        <v>27</v>
      </c>
      <c r="H103">
        <v>568</v>
      </c>
      <c r="I103" t="s">
        <v>28</v>
      </c>
      <c r="J103" t="s">
        <v>29</v>
      </c>
      <c r="K103">
        <v>67</v>
      </c>
      <c r="L103">
        <v>1</v>
      </c>
      <c r="M103">
        <v>67</v>
      </c>
      <c r="N103" t="s">
        <v>30</v>
      </c>
    </row>
    <row r="104" spans="1:14" x14ac:dyDescent="0.2">
      <c r="A104">
        <v>103</v>
      </c>
      <c r="B104" t="s">
        <v>43</v>
      </c>
      <c r="C104" t="s">
        <v>42</v>
      </c>
      <c r="D104" s="30">
        <v>35174</v>
      </c>
      <c r="E104">
        <v>2840707925</v>
      </c>
      <c r="F104">
        <v>28</v>
      </c>
      <c r="G104" t="s">
        <v>27</v>
      </c>
      <c r="H104">
        <v>299</v>
      </c>
      <c r="I104" t="s">
        <v>28</v>
      </c>
      <c r="J104" t="s">
        <v>29</v>
      </c>
      <c r="K104">
        <v>42</v>
      </c>
      <c r="L104">
        <v>2</v>
      </c>
      <c r="M104">
        <v>84</v>
      </c>
      <c r="N104" t="s">
        <v>25</v>
      </c>
    </row>
    <row r="105" spans="1:14" x14ac:dyDescent="0.2">
      <c r="A105">
        <v>104</v>
      </c>
      <c r="B105" t="s">
        <v>43</v>
      </c>
      <c r="C105" t="s">
        <v>42</v>
      </c>
      <c r="D105" s="30">
        <v>35192</v>
      </c>
      <c r="E105">
        <v>2208558769</v>
      </c>
      <c r="F105">
        <v>28</v>
      </c>
      <c r="G105" t="s">
        <v>27</v>
      </c>
      <c r="H105">
        <v>793</v>
      </c>
      <c r="I105" t="s">
        <v>17</v>
      </c>
      <c r="J105" t="s">
        <v>18</v>
      </c>
      <c r="K105">
        <v>74</v>
      </c>
      <c r="L105">
        <v>35</v>
      </c>
      <c r="M105">
        <v>2590</v>
      </c>
      <c r="N105" t="s">
        <v>30</v>
      </c>
    </row>
    <row r="106" spans="1:14" x14ac:dyDescent="0.2">
      <c r="A106">
        <v>105</v>
      </c>
      <c r="B106" t="s">
        <v>43</v>
      </c>
      <c r="C106" t="s">
        <v>42</v>
      </c>
      <c r="D106" s="30">
        <v>35327</v>
      </c>
      <c r="E106">
        <v>9652447749</v>
      </c>
      <c r="F106">
        <v>28</v>
      </c>
      <c r="G106" t="s">
        <v>27</v>
      </c>
      <c r="H106">
        <v>896</v>
      </c>
      <c r="I106" t="s">
        <v>38</v>
      </c>
      <c r="J106" t="s">
        <v>18</v>
      </c>
      <c r="K106">
        <v>91</v>
      </c>
      <c r="L106">
        <v>15</v>
      </c>
      <c r="M106">
        <v>1365</v>
      </c>
      <c r="N106" t="s">
        <v>19</v>
      </c>
    </row>
    <row r="107" spans="1:14" x14ac:dyDescent="0.2">
      <c r="A107">
        <v>106</v>
      </c>
      <c r="B107" t="s">
        <v>43</v>
      </c>
      <c r="C107" t="s">
        <v>42</v>
      </c>
      <c r="D107" s="30">
        <v>35336</v>
      </c>
      <c r="E107">
        <v>6293973290</v>
      </c>
      <c r="F107">
        <v>21</v>
      </c>
      <c r="G107" t="s">
        <v>44</v>
      </c>
      <c r="H107">
        <v>896</v>
      </c>
      <c r="I107" t="s">
        <v>38</v>
      </c>
      <c r="J107" t="s">
        <v>18</v>
      </c>
      <c r="K107">
        <v>13</v>
      </c>
      <c r="L107">
        <v>15</v>
      </c>
      <c r="M107">
        <v>195</v>
      </c>
      <c r="N107" t="s">
        <v>25</v>
      </c>
    </row>
    <row r="108" spans="1:14" x14ac:dyDescent="0.2">
      <c r="A108">
        <v>107</v>
      </c>
      <c r="B108" t="s">
        <v>43</v>
      </c>
      <c r="C108" t="s">
        <v>42</v>
      </c>
      <c r="D108" s="30">
        <v>36101</v>
      </c>
      <c r="E108">
        <v>2840707925</v>
      </c>
      <c r="F108">
        <v>21</v>
      </c>
      <c r="G108" t="s">
        <v>44</v>
      </c>
      <c r="H108">
        <v>299</v>
      </c>
      <c r="I108" t="s">
        <v>28</v>
      </c>
      <c r="J108" t="s">
        <v>29</v>
      </c>
      <c r="K108">
        <v>66</v>
      </c>
      <c r="L108">
        <v>2</v>
      </c>
      <c r="M108">
        <v>132</v>
      </c>
      <c r="N108" t="s">
        <v>25</v>
      </c>
    </row>
    <row r="109" spans="1:14" x14ac:dyDescent="0.2">
      <c r="A109">
        <v>108</v>
      </c>
      <c r="B109" t="s">
        <v>43</v>
      </c>
      <c r="C109" t="s">
        <v>42</v>
      </c>
      <c r="D109" s="30">
        <v>36119</v>
      </c>
      <c r="E109">
        <v>2208558769</v>
      </c>
      <c r="F109">
        <v>21</v>
      </c>
      <c r="G109" t="s">
        <v>44</v>
      </c>
      <c r="H109">
        <v>793</v>
      </c>
      <c r="I109" t="s">
        <v>17</v>
      </c>
      <c r="J109" t="s">
        <v>18</v>
      </c>
      <c r="K109">
        <v>95</v>
      </c>
      <c r="L109">
        <v>35</v>
      </c>
      <c r="M109">
        <v>3325</v>
      </c>
      <c r="N109" t="s">
        <v>30</v>
      </c>
    </row>
    <row r="110" spans="1:14" x14ac:dyDescent="0.2">
      <c r="A110">
        <v>109</v>
      </c>
      <c r="B110" t="s">
        <v>43</v>
      </c>
      <c r="C110" t="s">
        <v>42</v>
      </c>
      <c r="D110" s="30">
        <v>36254</v>
      </c>
      <c r="E110">
        <v>9652447749</v>
      </c>
      <c r="F110">
        <v>21</v>
      </c>
      <c r="G110" t="s">
        <v>44</v>
      </c>
      <c r="H110">
        <v>896</v>
      </c>
      <c r="I110" t="s">
        <v>38</v>
      </c>
      <c r="J110" t="s">
        <v>18</v>
      </c>
      <c r="K110">
        <v>43</v>
      </c>
      <c r="L110">
        <v>15</v>
      </c>
      <c r="M110">
        <v>645</v>
      </c>
      <c r="N110" t="s">
        <v>19</v>
      </c>
    </row>
    <row r="111" spans="1:14" x14ac:dyDescent="0.2">
      <c r="A111">
        <v>110</v>
      </c>
      <c r="B111" t="s">
        <v>43</v>
      </c>
      <c r="C111" t="s">
        <v>42</v>
      </c>
      <c r="D111" s="30">
        <v>36263</v>
      </c>
      <c r="E111">
        <v>6293973290</v>
      </c>
      <c r="F111">
        <v>21</v>
      </c>
      <c r="G111" t="s">
        <v>44</v>
      </c>
      <c r="H111">
        <v>896</v>
      </c>
      <c r="I111" t="s">
        <v>38</v>
      </c>
      <c r="J111" t="s">
        <v>18</v>
      </c>
      <c r="K111">
        <v>13</v>
      </c>
      <c r="L111">
        <v>15</v>
      </c>
      <c r="M111">
        <v>195</v>
      </c>
      <c r="N111" t="s">
        <v>25</v>
      </c>
    </row>
    <row r="112" spans="1:14" x14ac:dyDescent="0.2">
      <c r="A112">
        <v>111</v>
      </c>
      <c r="B112" t="s">
        <v>43</v>
      </c>
      <c r="C112" t="s">
        <v>42</v>
      </c>
      <c r="D112" s="30">
        <v>37028</v>
      </c>
      <c r="E112">
        <v>2840707925</v>
      </c>
      <c r="F112">
        <v>21</v>
      </c>
      <c r="G112" t="s">
        <v>44</v>
      </c>
      <c r="H112">
        <v>299</v>
      </c>
      <c r="I112" t="s">
        <v>28</v>
      </c>
      <c r="J112" t="s">
        <v>29</v>
      </c>
      <c r="K112">
        <v>35</v>
      </c>
      <c r="L112">
        <v>2</v>
      </c>
      <c r="M112">
        <v>70</v>
      </c>
      <c r="N112" t="s">
        <v>25</v>
      </c>
    </row>
    <row r="113" spans="1:14" x14ac:dyDescent="0.2">
      <c r="A113">
        <v>112</v>
      </c>
      <c r="B113" t="s">
        <v>43</v>
      </c>
      <c r="C113" t="s">
        <v>42</v>
      </c>
      <c r="D113" s="30">
        <v>37046</v>
      </c>
      <c r="E113">
        <v>2208558769</v>
      </c>
      <c r="F113">
        <v>21</v>
      </c>
      <c r="G113" t="s">
        <v>44</v>
      </c>
      <c r="H113">
        <v>793</v>
      </c>
      <c r="I113" t="s">
        <v>17</v>
      </c>
      <c r="J113" t="s">
        <v>18</v>
      </c>
      <c r="K113">
        <v>55</v>
      </c>
      <c r="L113">
        <v>35</v>
      </c>
      <c r="M113">
        <v>1925</v>
      </c>
      <c r="N113" t="s">
        <v>30</v>
      </c>
    </row>
    <row r="114" spans="1:14" x14ac:dyDescent="0.2">
      <c r="A114">
        <v>113</v>
      </c>
      <c r="B114" t="s">
        <v>43</v>
      </c>
      <c r="C114" t="s">
        <v>42</v>
      </c>
      <c r="D114" s="30">
        <v>37181</v>
      </c>
      <c r="E114">
        <v>9652447749</v>
      </c>
      <c r="F114">
        <v>21</v>
      </c>
      <c r="G114" t="s">
        <v>44</v>
      </c>
      <c r="H114">
        <v>896</v>
      </c>
      <c r="I114" t="s">
        <v>38</v>
      </c>
      <c r="J114" t="s">
        <v>18</v>
      </c>
      <c r="K114">
        <v>86</v>
      </c>
      <c r="L114">
        <v>15</v>
      </c>
      <c r="M114">
        <v>1290</v>
      </c>
      <c r="N114" t="s">
        <v>19</v>
      </c>
    </row>
    <row r="115" spans="1:14" x14ac:dyDescent="0.2">
      <c r="A115">
        <v>114</v>
      </c>
      <c r="B115" t="s">
        <v>43</v>
      </c>
      <c r="C115" t="s">
        <v>42</v>
      </c>
      <c r="D115" s="30">
        <v>37190</v>
      </c>
      <c r="E115">
        <v>6293973290</v>
      </c>
      <c r="F115">
        <v>21</v>
      </c>
      <c r="G115" t="s">
        <v>44</v>
      </c>
      <c r="H115">
        <v>896</v>
      </c>
      <c r="I115" t="s">
        <v>38</v>
      </c>
      <c r="J115" t="s">
        <v>18</v>
      </c>
      <c r="K115">
        <v>54</v>
      </c>
      <c r="L115">
        <v>15</v>
      </c>
      <c r="M115">
        <v>810</v>
      </c>
      <c r="N115" t="s">
        <v>25</v>
      </c>
    </row>
    <row r="116" spans="1:14" x14ac:dyDescent="0.2">
      <c r="A116">
        <v>115</v>
      </c>
      <c r="B116" t="s">
        <v>43</v>
      </c>
      <c r="C116" t="s">
        <v>42</v>
      </c>
      <c r="D116" s="30">
        <v>37955</v>
      </c>
      <c r="E116">
        <v>2840707925</v>
      </c>
      <c r="F116">
        <v>39</v>
      </c>
      <c r="G116" t="s">
        <v>45</v>
      </c>
      <c r="H116">
        <v>299</v>
      </c>
      <c r="I116" t="s">
        <v>28</v>
      </c>
      <c r="J116" t="s">
        <v>29</v>
      </c>
      <c r="K116">
        <v>82</v>
      </c>
      <c r="L116">
        <v>2</v>
      </c>
      <c r="M116">
        <v>164</v>
      </c>
      <c r="N116" t="s">
        <v>25</v>
      </c>
    </row>
    <row r="117" spans="1:14" x14ac:dyDescent="0.2">
      <c r="A117">
        <v>116</v>
      </c>
      <c r="B117" t="s">
        <v>43</v>
      </c>
      <c r="C117" t="s">
        <v>42</v>
      </c>
      <c r="D117" s="30">
        <v>37973</v>
      </c>
      <c r="E117">
        <v>2208558769</v>
      </c>
      <c r="F117">
        <v>39</v>
      </c>
      <c r="G117" t="s">
        <v>45</v>
      </c>
      <c r="H117">
        <v>793</v>
      </c>
      <c r="I117" t="s">
        <v>17</v>
      </c>
      <c r="J117" t="s">
        <v>18</v>
      </c>
      <c r="K117">
        <v>47</v>
      </c>
      <c r="L117">
        <v>35</v>
      </c>
      <c r="M117">
        <v>1645</v>
      </c>
      <c r="N117" t="s">
        <v>30</v>
      </c>
    </row>
    <row r="118" spans="1:14" x14ac:dyDescent="0.2">
      <c r="A118">
        <v>117</v>
      </c>
      <c r="B118" t="s">
        <v>43</v>
      </c>
      <c r="C118" t="s">
        <v>42</v>
      </c>
      <c r="D118" s="30">
        <v>38108</v>
      </c>
      <c r="E118">
        <v>9652447749</v>
      </c>
      <c r="F118">
        <v>39</v>
      </c>
      <c r="G118" t="s">
        <v>45</v>
      </c>
      <c r="H118">
        <v>896</v>
      </c>
      <c r="I118" t="s">
        <v>38</v>
      </c>
      <c r="J118" t="s">
        <v>18</v>
      </c>
      <c r="K118">
        <v>83</v>
      </c>
      <c r="L118">
        <v>15</v>
      </c>
      <c r="M118">
        <v>1245</v>
      </c>
      <c r="N118" t="s">
        <v>19</v>
      </c>
    </row>
    <row r="119" spans="1:14" x14ac:dyDescent="0.2">
      <c r="A119">
        <v>118</v>
      </c>
      <c r="B119" t="s">
        <v>43</v>
      </c>
      <c r="C119" t="s">
        <v>42</v>
      </c>
      <c r="D119" s="30">
        <v>38117</v>
      </c>
      <c r="E119">
        <v>6293973290</v>
      </c>
      <c r="F119">
        <v>39</v>
      </c>
      <c r="G119" t="s">
        <v>45</v>
      </c>
      <c r="H119">
        <v>896</v>
      </c>
      <c r="I119" t="s">
        <v>38</v>
      </c>
      <c r="J119" t="s">
        <v>18</v>
      </c>
      <c r="K119">
        <v>31</v>
      </c>
      <c r="L119">
        <v>15</v>
      </c>
      <c r="M119">
        <v>465</v>
      </c>
      <c r="N119" t="s">
        <v>25</v>
      </c>
    </row>
    <row r="120" spans="1:14" x14ac:dyDescent="0.2">
      <c r="A120">
        <v>119</v>
      </c>
      <c r="B120" t="s">
        <v>43</v>
      </c>
      <c r="C120" t="s">
        <v>42</v>
      </c>
      <c r="D120" s="30">
        <v>38882</v>
      </c>
      <c r="E120">
        <v>2840707925</v>
      </c>
      <c r="F120">
        <v>39</v>
      </c>
      <c r="G120" t="s">
        <v>45</v>
      </c>
      <c r="H120">
        <v>299</v>
      </c>
      <c r="I120" t="s">
        <v>28</v>
      </c>
      <c r="J120" t="s">
        <v>29</v>
      </c>
      <c r="K120">
        <v>55</v>
      </c>
      <c r="L120">
        <v>2</v>
      </c>
      <c r="M120">
        <v>110</v>
      </c>
      <c r="N120" t="s">
        <v>25</v>
      </c>
    </row>
    <row r="121" spans="1:14" x14ac:dyDescent="0.2">
      <c r="A121">
        <v>120</v>
      </c>
      <c r="B121" t="s">
        <v>43</v>
      </c>
      <c r="C121" t="s">
        <v>42</v>
      </c>
      <c r="D121" s="30">
        <v>38900</v>
      </c>
      <c r="E121">
        <v>2208558769</v>
      </c>
      <c r="F121">
        <v>39</v>
      </c>
      <c r="G121" t="s">
        <v>45</v>
      </c>
      <c r="H121">
        <v>793</v>
      </c>
      <c r="I121" t="s">
        <v>17</v>
      </c>
      <c r="J121" t="s">
        <v>18</v>
      </c>
      <c r="K121">
        <v>51</v>
      </c>
      <c r="L121">
        <v>35</v>
      </c>
      <c r="M121">
        <v>1785</v>
      </c>
      <c r="N121" t="s">
        <v>30</v>
      </c>
    </row>
    <row r="122" spans="1:14" x14ac:dyDescent="0.2">
      <c r="A122">
        <v>121</v>
      </c>
      <c r="B122" t="s">
        <v>43</v>
      </c>
      <c r="C122" t="s">
        <v>42</v>
      </c>
      <c r="D122" s="30">
        <v>39035</v>
      </c>
      <c r="E122">
        <v>9652447749</v>
      </c>
      <c r="F122">
        <v>39</v>
      </c>
      <c r="G122" t="s">
        <v>45</v>
      </c>
      <c r="H122">
        <v>896</v>
      </c>
      <c r="I122" t="s">
        <v>38</v>
      </c>
      <c r="J122" t="s">
        <v>18</v>
      </c>
      <c r="K122">
        <v>19</v>
      </c>
      <c r="L122">
        <v>15</v>
      </c>
      <c r="M122">
        <v>285</v>
      </c>
      <c r="N122" t="s">
        <v>19</v>
      </c>
    </row>
    <row r="123" spans="1:14" x14ac:dyDescent="0.2">
      <c r="A123">
        <v>122</v>
      </c>
      <c r="B123" t="s">
        <v>43</v>
      </c>
      <c r="C123" t="s">
        <v>42</v>
      </c>
      <c r="D123" s="30">
        <v>39044</v>
      </c>
      <c r="E123">
        <v>6293973290</v>
      </c>
      <c r="F123">
        <v>39</v>
      </c>
      <c r="G123" t="s">
        <v>45</v>
      </c>
      <c r="H123">
        <v>896</v>
      </c>
      <c r="I123" t="s">
        <v>38</v>
      </c>
      <c r="J123" t="s">
        <v>18</v>
      </c>
      <c r="K123">
        <v>31</v>
      </c>
      <c r="L123">
        <v>15</v>
      </c>
      <c r="M123">
        <v>465</v>
      </c>
      <c r="N123" t="s">
        <v>25</v>
      </c>
    </row>
    <row r="124" spans="1:14" x14ac:dyDescent="0.2">
      <c r="A124">
        <v>123</v>
      </c>
      <c r="B124" t="s">
        <v>43</v>
      </c>
      <c r="C124" t="s">
        <v>42</v>
      </c>
      <c r="D124" s="30">
        <v>39809</v>
      </c>
      <c r="E124">
        <v>2840707925</v>
      </c>
      <c r="F124">
        <v>39</v>
      </c>
      <c r="G124" t="s">
        <v>45</v>
      </c>
      <c r="H124">
        <v>299</v>
      </c>
      <c r="I124" t="s">
        <v>28</v>
      </c>
      <c r="J124" t="s">
        <v>29</v>
      </c>
      <c r="K124">
        <v>96</v>
      </c>
      <c r="L124">
        <v>2</v>
      </c>
      <c r="M124">
        <v>192</v>
      </c>
      <c r="N124" t="s">
        <v>25</v>
      </c>
    </row>
    <row r="125" spans="1:14" x14ac:dyDescent="0.2">
      <c r="A125">
        <v>124</v>
      </c>
      <c r="B125" t="s">
        <v>43</v>
      </c>
      <c r="C125" t="s">
        <v>42</v>
      </c>
      <c r="D125" s="30">
        <v>39827</v>
      </c>
      <c r="E125">
        <v>2208558769</v>
      </c>
      <c r="F125">
        <v>21</v>
      </c>
      <c r="G125" t="s">
        <v>44</v>
      </c>
      <c r="H125">
        <v>793</v>
      </c>
      <c r="I125" t="s">
        <v>17</v>
      </c>
      <c r="J125" t="s">
        <v>18</v>
      </c>
      <c r="K125">
        <v>26</v>
      </c>
      <c r="L125">
        <v>35</v>
      </c>
      <c r="M125">
        <v>910</v>
      </c>
      <c r="N125" t="s">
        <v>30</v>
      </c>
    </row>
    <row r="126" spans="1:14" x14ac:dyDescent="0.2">
      <c r="A126">
        <v>125</v>
      </c>
      <c r="B126" t="s">
        <v>43</v>
      </c>
      <c r="C126" t="s">
        <v>42</v>
      </c>
      <c r="D126" s="30">
        <v>39962</v>
      </c>
      <c r="E126">
        <v>9652447749</v>
      </c>
      <c r="F126">
        <v>21</v>
      </c>
      <c r="G126" t="s">
        <v>44</v>
      </c>
      <c r="H126">
        <v>896</v>
      </c>
      <c r="I126" t="s">
        <v>38</v>
      </c>
      <c r="J126" t="s">
        <v>18</v>
      </c>
      <c r="K126">
        <v>76</v>
      </c>
      <c r="L126">
        <v>15</v>
      </c>
      <c r="M126">
        <v>1140</v>
      </c>
      <c r="N126" t="s">
        <v>19</v>
      </c>
    </row>
    <row r="127" spans="1:14" x14ac:dyDescent="0.2">
      <c r="A127">
        <v>126</v>
      </c>
      <c r="B127" t="s">
        <v>43</v>
      </c>
      <c r="C127" t="s">
        <v>42</v>
      </c>
      <c r="D127" s="30">
        <v>39971</v>
      </c>
      <c r="E127">
        <v>6293973290</v>
      </c>
      <c r="F127">
        <v>21</v>
      </c>
      <c r="G127" t="s">
        <v>44</v>
      </c>
      <c r="H127">
        <v>896</v>
      </c>
      <c r="I127" t="s">
        <v>38</v>
      </c>
      <c r="J127" t="s">
        <v>18</v>
      </c>
      <c r="K127">
        <v>28</v>
      </c>
      <c r="L127">
        <v>15</v>
      </c>
      <c r="M127">
        <v>420</v>
      </c>
      <c r="N127" t="s">
        <v>25</v>
      </c>
    </row>
    <row r="128" spans="1:14" x14ac:dyDescent="0.2">
      <c r="A128">
        <v>127</v>
      </c>
      <c r="B128" t="s">
        <v>46</v>
      </c>
      <c r="C128" t="s">
        <v>42</v>
      </c>
      <c r="D128" s="30">
        <v>35003</v>
      </c>
      <c r="E128">
        <v>3915253150</v>
      </c>
      <c r="F128">
        <v>21</v>
      </c>
      <c r="G128" t="s">
        <v>44</v>
      </c>
      <c r="H128">
        <v>577</v>
      </c>
      <c r="I128" t="s">
        <v>47</v>
      </c>
      <c r="J128" t="s">
        <v>18</v>
      </c>
      <c r="K128">
        <v>50</v>
      </c>
      <c r="L128">
        <v>40</v>
      </c>
      <c r="M128">
        <v>2000</v>
      </c>
      <c r="N128" t="s">
        <v>25</v>
      </c>
    </row>
    <row r="129" spans="1:14" x14ac:dyDescent="0.2">
      <c r="A129">
        <v>128</v>
      </c>
      <c r="B129" t="s">
        <v>46</v>
      </c>
      <c r="C129" t="s">
        <v>42</v>
      </c>
      <c r="D129" s="30">
        <v>35930</v>
      </c>
      <c r="E129">
        <v>3915253150</v>
      </c>
      <c r="F129">
        <v>21</v>
      </c>
      <c r="G129" t="s">
        <v>44</v>
      </c>
      <c r="H129">
        <v>577</v>
      </c>
      <c r="I129" t="s">
        <v>47</v>
      </c>
      <c r="J129" t="s">
        <v>18</v>
      </c>
      <c r="K129">
        <v>13</v>
      </c>
      <c r="L129">
        <v>40</v>
      </c>
      <c r="M129">
        <v>520</v>
      </c>
      <c r="N129" t="s">
        <v>25</v>
      </c>
    </row>
    <row r="130" spans="1:14" x14ac:dyDescent="0.2">
      <c r="A130">
        <v>129</v>
      </c>
      <c r="B130" t="s">
        <v>46</v>
      </c>
      <c r="C130" t="s">
        <v>42</v>
      </c>
      <c r="D130" s="30">
        <v>36857</v>
      </c>
      <c r="E130">
        <v>3915253150</v>
      </c>
      <c r="F130">
        <v>21</v>
      </c>
      <c r="G130" t="s">
        <v>44</v>
      </c>
      <c r="H130">
        <v>577</v>
      </c>
      <c r="I130" t="s">
        <v>47</v>
      </c>
      <c r="J130" t="s">
        <v>18</v>
      </c>
      <c r="K130">
        <v>75</v>
      </c>
      <c r="L130">
        <v>40</v>
      </c>
      <c r="M130">
        <v>3000</v>
      </c>
      <c r="N130" t="s">
        <v>25</v>
      </c>
    </row>
    <row r="131" spans="1:14" x14ac:dyDescent="0.2">
      <c r="A131">
        <v>130</v>
      </c>
      <c r="B131" t="s">
        <v>46</v>
      </c>
      <c r="C131" t="s">
        <v>42</v>
      </c>
      <c r="D131" s="30">
        <v>37784</v>
      </c>
      <c r="E131">
        <v>3915253150</v>
      </c>
      <c r="F131">
        <v>21</v>
      </c>
      <c r="G131" t="s">
        <v>44</v>
      </c>
      <c r="H131">
        <v>577</v>
      </c>
      <c r="I131" t="s">
        <v>47</v>
      </c>
      <c r="J131" t="s">
        <v>18</v>
      </c>
      <c r="K131">
        <v>65</v>
      </c>
      <c r="L131">
        <v>40</v>
      </c>
      <c r="M131">
        <v>2600</v>
      </c>
      <c r="N131" t="s">
        <v>25</v>
      </c>
    </row>
    <row r="132" spans="1:14" x14ac:dyDescent="0.2">
      <c r="A132">
        <v>131</v>
      </c>
      <c r="B132" t="s">
        <v>46</v>
      </c>
      <c r="C132" t="s">
        <v>42</v>
      </c>
      <c r="D132" s="30">
        <v>38711</v>
      </c>
      <c r="E132">
        <v>3915253150</v>
      </c>
      <c r="F132">
        <v>21</v>
      </c>
      <c r="G132" t="s">
        <v>44</v>
      </c>
      <c r="H132">
        <v>577</v>
      </c>
      <c r="I132" t="s">
        <v>47</v>
      </c>
      <c r="J132" t="s">
        <v>18</v>
      </c>
      <c r="K132">
        <v>42</v>
      </c>
      <c r="L132">
        <v>40</v>
      </c>
      <c r="M132">
        <v>1680</v>
      </c>
      <c r="N132" t="s">
        <v>25</v>
      </c>
    </row>
    <row r="133" spans="1:14" x14ac:dyDescent="0.2">
      <c r="A133">
        <v>132</v>
      </c>
      <c r="B133" t="s">
        <v>46</v>
      </c>
      <c r="C133" t="s">
        <v>42</v>
      </c>
      <c r="D133" s="30">
        <v>39638</v>
      </c>
      <c r="E133">
        <v>3915253150</v>
      </c>
      <c r="F133">
        <v>21</v>
      </c>
      <c r="G133" t="s">
        <v>44</v>
      </c>
      <c r="H133">
        <v>577</v>
      </c>
      <c r="I133" t="s">
        <v>47</v>
      </c>
      <c r="J133" t="s">
        <v>18</v>
      </c>
      <c r="K133">
        <v>62</v>
      </c>
      <c r="L133">
        <v>40</v>
      </c>
      <c r="M133">
        <v>2480</v>
      </c>
      <c r="N133" t="s">
        <v>25</v>
      </c>
    </row>
    <row r="134" spans="1:14" x14ac:dyDescent="0.2">
      <c r="A134">
        <v>133</v>
      </c>
      <c r="B134" t="s">
        <v>48</v>
      </c>
      <c r="C134" t="s">
        <v>42</v>
      </c>
      <c r="D134" s="30">
        <v>35525</v>
      </c>
      <c r="E134">
        <v>1528715980</v>
      </c>
      <c r="F134">
        <v>29</v>
      </c>
      <c r="G134" t="s">
        <v>49</v>
      </c>
      <c r="H134">
        <v>521</v>
      </c>
      <c r="I134" t="s">
        <v>22</v>
      </c>
      <c r="J134" t="s">
        <v>23</v>
      </c>
      <c r="K134">
        <v>72</v>
      </c>
      <c r="L134">
        <v>30</v>
      </c>
      <c r="M134">
        <v>2160</v>
      </c>
      <c r="N134" t="s">
        <v>30</v>
      </c>
    </row>
    <row r="135" spans="1:14" x14ac:dyDescent="0.2">
      <c r="A135">
        <v>134</v>
      </c>
      <c r="B135" t="s">
        <v>48</v>
      </c>
      <c r="C135" t="s">
        <v>42</v>
      </c>
      <c r="D135" s="30">
        <v>36452</v>
      </c>
      <c r="E135">
        <v>1528715980</v>
      </c>
      <c r="F135">
        <v>29</v>
      </c>
      <c r="G135" t="s">
        <v>49</v>
      </c>
      <c r="H135">
        <v>521</v>
      </c>
      <c r="I135" t="s">
        <v>22</v>
      </c>
      <c r="J135" t="s">
        <v>23</v>
      </c>
      <c r="K135">
        <v>95</v>
      </c>
      <c r="L135">
        <v>30</v>
      </c>
      <c r="M135">
        <v>2850</v>
      </c>
      <c r="N135" t="s">
        <v>30</v>
      </c>
    </row>
    <row r="136" spans="1:14" x14ac:dyDescent="0.2">
      <c r="A136">
        <v>135</v>
      </c>
      <c r="B136" t="s">
        <v>48</v>
      </c>
      <c r="C136" t="s">
        <v>42</v>
      </c>
      <c r="D136" s="30">
        <v>37379</v>
      </c>
      <c r="E136">
        <v>1528715980</v>
      </c>
      <c r="F136">
        <v>29</v>
      </c>
      <c r="G136" t="s">
        <v>49</v>
      </c>
      <c r="H136">
        <v>521</v>
      </c>
      <c r="I136" t="s">
        <v>22</v>
      </c>
      <c r="J136" t="s">
        <v>23</v>
      </c>
      <c r="K136">
        <v>77</v>
      </c>
      <c r="L136">
        <v>30</v>
      </c>
      <c r="M136">
        <v>2310</v>
      </c>
      <c r="N136" t="s">
        <v>30</v>
      </c>
    </row>
    <row r="137" spans="1:14" x14ac:dyDescent="0.2">
      <c r="A137">
        <v>136</v>
      </c>
      <c r="B137" t="s">
        <v>48</v>
      </c>
      <c r="C137" t="s">
        <v>42</v>
      </c>
      <c r="D137" s="30">
        <v>38306</v>
      </c>
      <c r="E137">
        <v>1528715980</v>
      </c>
      <c r="F137">
        <v>29</v>
      </c>
      <c r="G137" t="s">
        <v>49</v>
      </c>
      <c r="H137">
        <v>521</v>
      </c>
      <c r="I137" t="s">
        <v>22</v>
      </c>
      <c r="J137" t="s">
        <v>23</v>
      </c>
      <c r="K137">
        <v>16</v>
      </c>
      <c r="L137">
        <v>30</v>
      </c>
      <c r="M137">
        <v>480</v>
      </c>
      <c r="N137" t="s">
        <v>30</v>
      </c>
    </row>
    <row r="138" spans="1:14" x14ac:dyDescent="0.2">
      <c r="A138">
        <v>137</v>
      </c>
      <c r="B138" t="s">
        <v>48</v>
      </c>
      <c r="C138" t="s">
        <v>42</v>
      </c>
      <c r="D138" s="30">
        <v>39233</v>
      </c>
      <c r="E138">
        <v>1528715980</v>
      </c>
      <c r="F138">
        <v>29</v>
      </c>
      <c r="G138" t="s">
        <v>49</v>
      </c>
      <c r="H138">
        <v>521</v>
      </c>
      <c r="I138" t="s">
        <v>22</v>
      </c>
      <c r="J138" t="s">
        <v>23</v>
      </c>
      <c r="K138">
        <v>95</v>
      </c>
      <c r="L138">
        <v>30</v>
      </c>
      <c r="M138">
        <v>2850</v>
      </c>
      <c r="N138" t="s">
        <v>30</v>
      </c>
    </row>
    <row r="139" spans="1:14" x14ac:dyDescent="0.2">
      <c r="A139">
        <v>138</v>
      </c>
      <c r="B139" t="s">
        <v>48</v>
      </c>
      <c r="C139" t="s">
        <v>42</v>
      </c>
      <c r="D139" s="30">
        <v>40160</v>
      </c>
      <c r="E139">
        <v>1528715980</v>
      </c>
      <c r="F139">
        <v>29</v>
      </c>
      <c r="G139" t="s">
        <v>49</v>
      </c>
      <c r="H139">
        <v>521</v>
      </c>
      <c r="I139" t="s">
        <v>22</v>
      </c>
      <c r="J139" t="s">
        <v>23</v>
      </c>
      <c r="K139">
        <v>26</v>
      </c>
      <c r="L139">
        <v>30</v>
      </c>
      <c r="M139">
        <v>780</v>
      </c>
      <c r="N139" t="s">
        <v>30</v>
      </c>
    </row>
    <row r="140" spans="1:14" x14ac:dyDescent="0.2">
      <c r="A140">
        <v>139</v>
      </c>
      <c r="B140" t="s">
        <v>41</v>
      </c>
      <c r="C140" t="s">
        <v>42</v>
      </c>
      <c r="D140" s="30">
        <v>35579</v>
      </c>
      <c r="E140">
        <v>3896627272</v>
      </c>
      <c r="F140">
        <v>29</v>
      </c>
      <c r="G140" t="s">
        <v>49</v>
      </c>
      <c r="H140">
        <v>195</v>
      </c>
      <c r="I140" t="s">
        <v>36</v>
      </c>
      <c r="J140" t="s">
        <v>18</v>
      </c>
      <c r="K140">
        <v>27</v>
      </c>
      <c r="L140">
        <v>60</v>
      </c>
      <c r="M140">
        <v>1620</v>
      </c>
      <c r="N140" t="s">
        <v>25</v>
      </c>
    </row>
    <row r="141" spans="1:14" x14ac:dyDescent="0.2">
      <c r="A141">
        <v>140</v>
      </c>
      <c r="B141" t="s">
        <v>41</v>
      </c>
      <c r="C141" t="s">
        <v>42</v>
      </c>
      <c r="D141" s="30">
        <v>35606</v>
      </c>
      <c r="E141">
        <v>6023412162</v>
      </c>
      <c r="F141">
        <v>29</v>
      </c>
      <c r="G141" t="s">
        <v>49</v>
      </c>
      <c r="H141">
        <v>454</v>
      </c>
      <c r="I141" t="s">
        <v>38</v>
      </c>
      <c r="J141" t="s">
        <v>18</v>
      </c>
      <c r="K141">
        <v>79</v>
      </c>
      <c r="L141">
        <v>15</v>
      </c>
      <c r="M141">
        <v>1185</v>
      </c>
      <c r="N141" t="s">
        <v>25</v>
      </c>
    </row>
    <row r="142" spans="1:14" x14ac:dyDescent="0.2">
      <c r="A142">
        <v>141</v>
      </c>
      <c r="B142" t="s">
        <v>41</v>
      </c>
      <c r="C142" t="s">
        <v>42</v>
      </c>
      <c r="D142" s="30">
        <v>36506</v>
      </c>
      <c r="E142">
        <v>3896627272</v>
      </c>
      <c r="F142">
        <v>29</v>
      </c>
      <c r="G142" t="s">
        <v>49</v>
      </c>
      <c r="H142">
        <v>195</v>
      </c>
      <c r="I142" t="s">
        <v>36</v>
      </c>
      <c r="J142" t="s">
        <v>18</v>
      </c>
      <c r="K142">
        <v>59</v>
      </c>
      <c r="L142">
        <v>60</v>
      </c>
      <c r="M142">
        <v>3540</v>
      </c>
      <c r="N142" t="s">
        <v>25</v>
      </c>
    </row>
    <row r="143" spans="1:14" x14ac:dyDescent="0.2">
      <c r="A143">
        <v>142</v>
      </c>
      <c r="B143" t="s">
        <v>41</v>
      </c>
      <c r="C143" t="s">
        <v>42</v>
      </c>
      <c r="D143" s="30">
        <v>36533</v>
      </c>
      <c r="E143">
        <v>6023412162</v>
      </c>
      <c r="F143">
        <v>29</v>
      </c>
      <c r="G143" t="s">
        <v>49</v>
      </c>
      <c r="H143">
        <v>454</v>
      </c>
      <c r="I143" t="s">
        <v>38</v>
      </c>
      <c r="J143" t="s">
        <v>18</v>
      </c>
      <c r="K143">
        <v>54</v>
      </c>
      <c r="L143">
        <v>15</v>
      </c>
      <c r="M143">
        <v>810</v>
      </c>
      <c r="N143" t="s">
        <v>25</v>
      </c>
    </row>
    <row r="144" spans="1:14" x14ac:dyDescent="0.2">
      <c r="A144">
        <v>143</v>
      </c>
      <c r="B144" t="s">
        <v>41</v>
      </c>
      <c r="C144" t="s">
        <v>42</v>
      </c>
      <c r="D144" s="30">
        <v>37433</v>
      </c>
      <c r="E144">
        <v>3896627272</v>
      </c>
      <c r="F144">
        <v>29</v>
      </c>
      <c r="G144" t="s">
        <v>49</v>
      </c>
      <c r="H144">
        <v>195</v>
      </c>
      <c r="I144" t="s">
        <v>36</v>
      </c>
      <c r="J144" t="s">
        <v>18</v>
      </c>
      <c r="K144">
        <v>92</v>
      </c>
      <c r="L144">
        <v>60</v>
      </c>
      <c r="M144">
        <v>5520</v>
      </c>
      <c r="N144" t="s">
        <v>25</v>
      </c>
    </row>
    <row r="145" spans="1:14" x14ac:dyDescent="0.2">
      <c r="A145">
        <v>144</v>
      </c>
      <c r="B145" t="s">
        <v>41</v>
      </c>
      <c r="C145" t="s">
        <v>42</v>
      </c>
      <c r="D145" s="30">
        <v>37460</v>
      </c>
      <c r="E145">
        <v>6023412162</v>
      </c>
      <c r="F145">
        <v>29</v>
      </c>
      <c r="G145" t="s">
        <v>49</v>
      </c>
      <c r="H145">
        <v>454</v>
      </c>
      <c r="I145" t="s">
        <v>38</v>
      </c>
      <c r="J145" t="s">
        <v>18</v>
      </c>
      <c r="K145">
        <v>52</v>
      </c>
      <c r="L145">
        <v>15</v>
      </c>
      <c r="M145">
        <v>780</v>
      </c>
      <c r="N145" t="s">
        <v>25</v>
      </c>
    </row>
    <row r="146" spans="1:14" x14ac:dyDescent="0.2">
      <c r="A146">
        <v>145</v>
      </c>
      <c r="B146" t="s">
        <v>41</v>
      </c>
      <c r="C146" t="s">
        <v>42</v>
      </c>
      <c r="D146" s="30">
        <v>38360</v>
      </c>
      <c r="E146">
        <v>3896627272</v>
      </c>
      <c r="F146">
        <v>29</v>
      </c>
      <c r="G146" t="s">
        <v>49</v>
      </c>
      <c r="H146">
        <v>195</v>
      </c>
      <c r="I146" t="s">
        <v>36</v>
      </c>
      <c r="J146" t="s">
        <v>18</v>
      </c>
      <c r="K146">
        <v>97</v>
      </c>
      <c r="L146">
        <v>60</v>
      </c>
      <c r="M146">
        <v>5820</v>
      </c>
      <c r="N146" t="s">
        <v>25</v>
      </c>
    </row>
    <row r="147" spans="1:14" x14ac:dyDescent="0.2">
      <c r="A147">
        <v>146</v>
      </c>
      <c r="B147" t="s">
        <v>41</v>
      </c>
      <c r="C147" t="s">
        <v>42</v>
      </c>
      <c r="D147" s="30">
        <v>38387</v>
      </c>
      <c r="E147">
        <v>6023412162</v>
      </c>
      <c r="F147">
        <v>29</v>
      </c>
      <c r="G147" t="s">
        <v>49</v>
      </c>
      <c r="H147">
        <v>454</v>
      </c>
      <c r="I147" t="s">
        <v>38</v>
      </c>
      <c r="J147" t="s">
        <v>18</v>
      </c>
      <c r="K147">
        <v>85</v>
      </c>
      <c r="L147">
        <v>15</v>
      </c>
      <c r="M147">
        <v>1275</v>
      </c>
      <c r="N147" t="s">
        <v>25</v>
      </c>
    </row>
    <row r="148" spans="1:14" x14ac:dyDescent="0.2">
      <c r="A148">
        <v>147</v>
      </c>
      <c r="B148" t="s">
        <v>41</v>
      </c>
      <c r="C148" t="s">
        <v>42</v>
      </c>
      <c r="D148" s="30">
        <v>39287</v>
      </c>
      <c r="E148">
        <v>3896627272</v>
      </c>
      <c r="F148">
        <v>29</v>
      </c>
      <c r="G148" t="s">
        <v>49</v>
      </c>
      <c r="H148">
        <v>195</v>
      </c>
      <c r="I148" t="s">
        <v>36</v>
      </c>
      <c r="J148" t="s">
        <v>18</v>
      </c>
      <c r="K148">
        <v>58</v>
      </c>
      <c r="L148">
        <v>60</v>
      </c>
      <c r="M148">
        <v>3480</v>
      </c>
      <c r="N148" t="s">
        <v>25</v>
      </c>
    </row>
    <row r="149" spans="1:14" x14ac:dyDescent="0.2">
      <c r="A149">
        <v>148</v>
      </c>
      <c r="B149" t="s">
        <v>41</v>
      </c>
      <c r="C149" t="s">
        <v>42</v>
      </c>
      <c r="D149" s="30">
        <v>39314</v>
      </c>
      <c r="E149">
        <v>6023412162</v>
      </c>
      <c r="F149">
        <v>29</v>
      </c>
      <c r="G149" t="s">
        <v>49</v>
      </c>
      <c r="H149">
        <v>454</v>
      </c>
      <c r="I149" t="s">
        <v>38</v>
      </c>
      <c r="J149" t="s">
        <v>18</v>
      </c>
      <c r="K149">
        <v>92</v>
      </c>
      <c r="L149">
        <v>15</v>
      </c>
      <c r="M149">
        <v>1380</v>
      </c>
      <c r="N149" t="s">
        <v>25</v>
      </c>
    </row>
    <row r="150" spans="1:14" x14ac:dyDescent="0.2">
      <c r="A150">
        <v>149</v>
      </c>
      <c r="B150" t="s">
        <v>41</v>
      </c>
      <c r="C150" t="s">
        <v>42</v>
      </c>
      <c r="D150" s="30">
        <v>40214</v>
      </c>
      <c r="E150">
        <v>3896627272</v>
      </c>
      <c r="F150">
        <v>29</v>
      </c>
      <c r="G150" t="s">
        <v>49</v>
      </c>
      <c r="H150">
        <v>195</v>
      </c>
      <c r="I150" t="s">
        <v>36</v>
      </c>
      <c r="J150" t="s">
        <v>18</v>
      </c>
      <c r="K150">
        <v>73</v>
      </c>
      <c r="L150">
        <v>60</v>
      </c>
      <c r="M150">
        <v>4380</v>
      </c>
      <c r="N150" t="s">
        <v>25</v>
      </c>
    </row>
    <row r="151" spans="1:14" x14ac:dyDescent="0.2">
      <c r="A151">
        <v>150</v>
      </c>
      <c r="B151" t="s">
        <v>41</v>
      </c>
      <c r="C151" t="s">
        <v>42</v>
      </c>
      <c r="D151" s="30">
        <v>40241</v>
      </c>
      <c r="E151">
        <v>6023412162</v>
      </c>
      <c r="F151">
        <v>29</v>
      </c>
      <c r="G151" t="s">
        <v>49</v>
      </c>
      <c r="H151">
        <v>454</v>
      </c>
      <c r="I151" t="s">
        <v>38</v>
      </c>
      <c r="J151" t="s">
        <v>18</v>
      </c>
      <c r="K151">
        <v>71</v>
      </c>
      <c r="L151">
        <v>15</v>
      </c>
      <c r="M151">
        <v>1065</v>
      </c>
      <c r="N151" t="s">
        <v>25</v>
      </c>
    </row>
    <row r="152" spans="1:14" x14ac:dyDescent="0.2">
      <c r="A152">
        <v>151</v>
      </c>
      <c r="B152" t="s">
        <v>50</v>
      </c>
      <c r="C152" t="s">
        <v>42</v>
      </c>
      <c r="D152" s="30">
        <v>34985</v>
      </c>
      <c r="E152">
        <v>8148155955</v>
      </c>
      <c r="F152">
        <v>29</v>
      </c>
      <c r="G152" t="s">
        <v>49</v>
      </c>
      <c r="H152">
        <v>454</v>
      </c>
      <c r="I152" t="s">
        <v>38</v>
      </c>
      <c r="J152" t="s">
        <v>18</v>
      </c>
      <c r="K152">
        <v>93</v>
      </c>
      <c r="L152">
        <v>15</v>
      </c>
      <c r="M152">
        <v>1395</v>
      </c>
      <c r="N152" t="s">
        <v>19</v>
      </c>
    </row>
    <row r="153" spans="1:14" x14ac:dyDescent="0.2">
      <c r="A153">
        <v>152</v>
      </c>
      <c r="B153" t="s">
        <v>50</v>
      </c>
      <c r="C153" t="s">
        <v>42</v>
      </c>
      <c r="D153" s="30">
        <v>35912</v>
      </c>
      <c r="E153">
        <v>8148155955</v>
      </c>
      <c r="F153">
        <v>29</v>
      </c>
      <c r="G153" t="s">
        <v>49</v>
      </c>
      <c r="H153">
        <v>454</v>
      </c>
      <c r="I153" t="s">
        <v>38</v>
      </c>
      <c r="J153" t="s">
        <v>18</v>
      </c>
      <c r="K153">
        <v>92</v>
      </c>
      <c r="L153">
        <v>15</v>
      </c>
      <c r="M153">
        <v>1380</v>
      </c>
      <c r="N153" t="s">
        <v>19</v>
      </c>
    </row>
    <row r="154" spans="1:14" x14ac:dyDescent="0.2">
      <c r="A154">
        <v>153</v>
      </c>
      <c r="B154" t="s">
        <v>50</v>
      </c>
      <c r="C154" t="s">
        <v>42</v>
      </c>
      <c r="D154" s="30">
        <v>36839</v>
      </c>
      <c r="E154">
        <v>8148155955</v>
      </c>
      <c r="F154">
        <v>29</v>
      </c>
      <c r="G154" t="s">
        <v>49</v>
      </c>
      <c r="H154">
        <v>454</v>
      </c>
      <c r="I154" t="s">
        <v>38</v>
      </c>
      <c r="J154" t="s">
        <v>18</v>
      </c>
      <c r="K154">
        <v>35</v>
      </c>
      <c r="L154">
        <v>15</v>
      </c>
      <c r="M154">
        <v>525</v>
      </c>
      <c r="N154" t="s">
        <v>19</v>
      </c>
    </row>
    <row r="155" spans="1:14" x14ac:dyDescent="0.2">
      <c r="A155">
        <v>154</v>
      </c>
      <c r="B155" t="s">
        <v>50</v>
      </c>
      <c r="C155" t="s">
        <v>42</v>
      </c>
      <c r="D155" s="30">
        <v>37766</v>
      </c>
      <c r="E155">
        <v>8148155955</v>
      </c>
      <c r="F155">
        <v>29</v>
      </c>
      <c r="G155" t="s">
        <v>49</v>
      </c>
      <c r="H155">
        <v>454</v>
      </c>
      <c r="I155" t="s">
        <v>38</v>
      </c>
      <c r="J155" t="s">
        <v>18</v>
      </c>
      <c r="K155">
        <v>69</v>
      </c>
      <c r="L155">
        <v>15</v>
      </c>
      <c r="M155">
        <v>1035</v>
      </c>
      <c r="N155" t="s">
        <v>19</v>
      </c>
    </row>
    <row r="156" spans="1:14" x14ac:dyDescent="0.2">
      <c r="A156">
        <v>155</v>
      </c>
      <c r="B156" t="s">
        <v>50</v>
      </c>
      <c r="C156" t="s">
        <v>42</v>
      </c>
      <c r="D156" s="30">
        <v>38693</v>
      </c>
      <c r="E156">
        <v>8148155955</v>
      </c>
      <c r="F156">
        <v>29</v>
      </c>
      <c r="G156" t="s">
        <v>49</v>
      </c>
      <c r="H156">
        <v>454</v>
      </c>
      <c r="I156" t="s">
        <v>38</v>
      </c>
      <c r="J156" t="s">
        <v>18</v>
      </c>
      <c r="K156">
        <v>96</v>
      </c>
      <c r="L156">
        <v>15</v>
      </c>
      <c r="M156">
        <v>1440</v>
      </c>
      <c r="N156" t="s">
        <v>19</v>
      </c>
    </row>
    <row r="157" spans="1:14" x14ac:dyDescent="0.2">
      <c r="A157">
        <v>156</v>
      </c>
      <c r="B157" t="s">
        <v>50</v>
      </c>
      <c r="C157" t="s">
        <v>42</v>
      </c>
      <c r="D157" s="30">
        <v>39620</v>
      </c>
      <c r="E157">
        <v>8148155955</v>
      </c>
      <c r="F157">
        <v>29</v>
      </c>
      <c r="G157" t="s">
        <v>49</v>
      </c>
      <c r="H157">
        <v>454</v>
      </c>
      <c r="I157" t="s">
        <v>38</v>
      </c>
      <c r="J157" t="s">
        <v>18</v>
      </c>
      <c r="K157">
        <v>44</v>
      </c>
      <c r="L157">
        <v>15</v>
      </c>
      <c r="M157">
        <v>660</v>
      </c>
      <c r="N157" t="s">
        <v>19</v>
      </c>
    </row>
    <row r="158" spans="1:14" x14ac:dyDescent="0.2">
      <c r="A158">
        <v>157</v>
      </c>
      <c r="B158" t="s">
        <v>48</v>
      </c>
      <c r="C158" t="s">
        <v>42</v>
      </c>
      <c r="D158" s="30">
        <v>35516</v>
      </c>
      <c r="E158">
        <v>2656823296</v>
      </c>
      <c r="F158">
        <v>29</v>
      </c>
      <c r="G158" t="s">
        <v>49</v>
      </c>
      <c r="H158">
        <v>454</v>
      </c>
      <c r="I158" t="s">
        <v>38</v>
      </c>
      <c r="J158" t="s">
        <v>18</v>
      </c>
      <c r="K158">
        <v>55</v>
      </c>
      <c r="L158">
        <v>15</v>
      </c>
      <c r="M158">
        <v>825</v>
      </c>
      <c r="N158" t="s">
        <v>30</v>
      </c>
    </row>
    <row r="159" spans="1:14" x14ac:dyDescent="0.2">
      <c r="A159">
        <v>158</v>
      </c>
      <c r="B159" t="s">
        <v>48</v>
      </c>
      <c r="C159" t="s">
        <v>42</v>
      </c>
      <c r="D159" s="30">
        <v>36443</v>
      </c>
      <c r="E159">
        <v>2656823296</v>
      </c>
      <c r="F159">
        <v>29</v>
      </c>
      <c r="G159" t="s">
        <v>49</v>
      </c>
      <c r="H159">
        <v>454</v>
      </c>
      <c r="I159" t="s">
        <v>38</v>
      </c>
      <c r="J159" t="s">
        <v>18</v>
      </c>
      <c r="K159">
        <v>77</v>
      </c>
      <c r="L159">
        <v>15</v>
      </c>
      <c r="M159">
        <v>1155</v>
      </c>
      <c r="N159" t="s">
        <v>30</v>
      </c>
    </row>
    <row r="160" spans="1:14" x14ac:dyDescent="0.2">
      <c r="A160">
        <v>159</v>
      </c>
      <c r="B160" t="s">
        <v>48</v>
      </c>
      <c r="C160" t="s">
        <v>42</v>
      </c>
      <c r="D160" s="30">
        <v>37370</v>
      </c>
      <c r="E160">
        <v>2656823296</v>
      </c>
      <c r="F160">
        <v>29</v>
      </c>
      <c r="G160" t="s">
        <v>49</v>
      </c>
      <c r="H160">
        <v>454</v>
      </c>
      <c r="I160" t="s">
        <v>38</v>
      </c>
      <c r="J160" t="s">
        <v>18</v>
      </c>
      <c r="K160">
        <v>66</v>
      </c>
      <c r="L160">
        <v>15</v>
      </c>
      <c r="M160">
        <v>990</v>
      </c>
      <c r="N160" t="s">
        <v>30</v>
      </c>
    </row>
    <row r="161" spans="1:14" x14ac:dyDescent="0.2">
      <c r="A161">
        <v>378</v>
      </c>
      <c r="B161" t="s">
        <v>52</v>
      </c>
      <c r="C161" t="s">
        <v>42</v>
      </c>
      <c r="D161" s="30">
        <v>39575</v>
      </c>
      <c r="E161">
        <v>2950099975</v>
      </c>
      <c r="F161">
        <v>34</v>
      </c>
      <c r="G161" t="s">
        <v>65</v>
      </c>
      <c r="H161">
        <v>359</v>
      </c>
      <c r="I161" t="s">
        <v>17</v>
      </c>
      <c r="J161" t="s">
        <v>18</v>
      </c>
      <c r="K161">
        <v>21</v>
      </c>
      <c r="L161">
        <v>25</v>
      </c>
      <c r="M161">
        <v>525</v>
      </c>
      <c r="N161" t="s">
        <v>30</v>
      </c>
    </row>
    <row r="162" spans="1:14" x14ac:dyDescent="0.2">
      <c r="A162">
        <v>377</v>
      </c>
      <c r="B162" t="s">
        <v>52</v>
      </c>
      <c r="C162" t="s">
        <v>42</v>
      </c>
      <c r="D162" s="30">
        <v>38648</v>
      </c>
      <c r="E162">
        <v>2950099975</v>
      </c>
      <c r="F162">
        <v>34</v>
      </c>
      <c r="G162" t="s">
        <v>65</v>
      </c>
      <c r="H162">
        <v>359</v>
      </c>
      <c r="I162" t="s">
        <v>17</v>
      </c>
      <c r="J162" t="s">
        <v>18</v>
      </c>
      <c r="K162">
        <v>44</v>
      </c>
      <c r="L162">
        <v>25</v>
      </c>
      <c r="M162">
        <v>1100</v>
      </c>
      <c r="N162" t="s">
        <v>30</v>
      </c>
    </row>
    <row r="163" spans="1:14" x14ac:dyDescent="0.2">
      <c r="A163">
        <v>376</v>
      </c>
      <c r="B163" t="s">
        <v>52</v>
      </c>
      <c r="C163" t="s">
        <v>42</v>
      </c>
      <c r="D163" s="30">
        <v>37721</v>
      </c>
      <c r="E163">
        <v>2950099975</v>
      </c>
      <c r="F163">
        <v>34</v>
      </c>
      <c r="G163" t="s">
        <v>65</v>
      </c>
      <c r="H163">
        <v>359</v>
      </c>
      <c r="I163" t="s">
        <v>17</v>
      </c>
      <c r="J163" t="s">
        <v>18</v>
      </c>
      <c r="K163">
        <v>82</v>
      </c>
      <c r="L163">
        <v>25</v>
      </c>
      <c r="M163">
        <v>2050</v>
      </c>
      <c r="N163" t="s">
        <v>30</v>
      </c>
    </row>
    <row r="164" spans="1:14" x14ac:dyDescent="0.2">
      <c r="A164">
        <v>375</v>
      </c>
      <c r="B164" t="s">
        <v>52</v>
      </c>
      <c r="C164" t="s">
        <v>42</v>
      </c>
      <c r="D164" s="30">
        <v>36794</v>
      </c>
      <c r="E164">
        <v>2950099975</v>
      </c>
      <c r="F164">
        <v>34</v>
      </c>
      <c r="G164" t="s">
        <v>65</v>
      </c>
      <c r="H164">
        <v>359</v>
      </c>
      <c r="I164" t="s">
        <v>17</v>
      </c>
      <c r="J164" t="s">
        <v>18</v>
      </c>
      <c r="K164">
        <v>79</v>
      </c>
      <c r="L164">
        <v>25</v>
      </c>
      <c r="M164">
        <v>1975</v>
      </c>
      <c r="N164" t="s">
        <v>30</v>
      </c>
    </row>
    <row r="165" spans="1:14" x14ac:dyDescent="0.2">
      <c r="A165">
        <v>374</v>
      </c>
      <c r="B165" t="s">
        <v>52</v>
      </c>
      <c r="C165" t="s">
        <v>42</v>
      </c>
      <c r="D165" s="30">
        <v>35867</v>
      </c>
      <c r="E165">
        <v>2950099975</v>
      </c>
      <c r="F165">
        <v>13</v>
      </c>
      <c r="G165" t="s">
        <v>64</v>
      </c>
      <c r="H165">
        <v>359</v>
      </c>
      <c r="I165" t="s">
        <v>17</v>
      </c>
      <c r="J165" t="s">
        <v>18</v>
      </c>
      <c r="K165">
        <v>71</v>
      </c>
      <c r="L165">
        <v>25</v>
      </c>
      <c r="M165">
        <v>1775</v>
      </c>
      <c r="N165" t="s">
        <v>30</v>
      </c>
    </row>
    <row r="166" spans="1:14" x14ac:dyDescent="0.2">
      <c r="A166">
        <v>373</v>
      </c>
      <c r="B166" t="s">
        <v>52</v>
      </c>
      <c r="C166" t="s">
        <v>42</v>
      </c>
      <c r="D166" s="30">
        <v>34940</v>
      </c>
      <c r="E166">
        <v>2950099975</v>
      </c>
      <c r="F166">
        <v>13</v>
      </c>
      <c r="G166" t="s">
        <v>64</v>
      </c>
      <c r="H166">
        <v>359</v>
      </c>
      <c r="I166" t="s">
        <v>17</v>
      </c>
      <c r="J166" t="s">
        <v>18</v>
      </c>
      <c r="K166">
        <v>46</v>
      </c>
      <c r="L166">
        <v>25</v>
      </c>
      <c r="M166">
        <v>1150</v>
      </c>
      <c r="N166" t="s">
        <v>30</v>
      </c>
    </row>
    <row r="167" spans="1:14" x14ac:dyDescent="0.2">
      <c r="A167">
        <v>372</v>
      </c>
      <c r="B167" t="s">
        <v>43</v>
      </c>
      <c r="C167" t="s">
        <v>42</v>
      </c>
      <c r="D167" s="30">
        <v>39935</v>
      </c>
      <c r="E167">
        <v>278031112</v>
      </c>
      <c r="F167">
        <v>13</v>
      </c>
      <c r="G167" t="s">
        <v>64</v>
      </c>
      <c r="H167">
        <v>521</v>
      </c>
      <c r="I167" t="s">
        <v>22</v>
      </c>
      <c r="J167" t="s">
        <v>23</v>
      </c>
      <c r="K167">
        <v>35</v>
      </c>
      <c r="L167">
        <v>30</v>
      </c>
      <c r="M167">
        <v>1050</v>
      </c>
      <c r="N167" t="s">
        <v>19</v>
      </c>
    </row>
    <row r="168" spans="1:14" x14ac:dyDescent="0.2">
      <c r="A168">
        <v>371</v>
      </c>
      <c r="B168" t="s">
        <v>43</v>
      </c>
      <c r="C168" t="s">
        <v>42</v>
      </c>
      <c r="D168" s="30">
        <v>39908</v>
      </c>
      <c r="E168">
        <v>4309964385</v>
      </c>
      <c r="F168">
        <v>13</v>
      </c>
      <c r="G168" t="s">
        <v>64</v>
      </c>
      <c r="H168">
        <v>359</v>
      </c>
      <c r="I168" t="s">
        <v>17</v>
      </c>
      <c r="J168" t="s">
        <v>18</v>
      </c>
      <c r="K168">
        <v>82</v>
      </c>
      <c r="L168">
        <v>25</v>
      </c>
      <c r="M168">
        <v>2050</v>
      </c>
      <c r="N168" t="s">
        <v>25</v>
      </c>
    </row>
    <row r="169" spans="1:14" x14ac:dyDescent="0.2">
      <c r="A169">
        <v>370</v>
      </c>
      <c r="B169" t="s">
        <v>43</v>
      </c>
      <c r="C169" t="s">
        <v>42</v>
      </c>
      <c r="D169" s="30">
        <v>39881</v>
      </c>
      <c r="E169">
        <v>7383733580</v>
      </c>
      <c r="F169">
        <v>13</v>
      </c>
      <c r="G169" t="s">
        <v>64</v>
      </c>
      <c r="H169">
        <v>909</v>
      </c>
      <c r="I169" t="s">
        <v>24</v>
      </c>
      <c r="J169" t="s">
        <v>18</v>
      </c>
      <c r="K169">
        <v>18</v>
      </c>
      <c r="L169">
        <v>50</v>
      </c>
      <c r="M169">
        <v>900</v>
      </c>
      <c r="N169" t="s">
        <v>30</v>
      </c>
    </row>
    <row r="170" spans="1:14" x14ac:dyDescent="0.2">
      <c r="A170">
        <v>369</v>
      </c>
      <c r="B170" t="s">
        <v>43</v>
      </c>
      <c r="C170" t="s">
        <v>42</v>
      </c>
      <c r="D170" s="30">
        <v>39836</v>
      </c>
      <c r="E170">
        <v>7559585521</v>
      </c>
      <c r="F170">
        <v>13</v>
      </c>
      <c r="G170" t="s">
        <v>64</v>
      </c>
      <c r="H170">
        <v>909</v>
      </c>
      <c r="I170" t="s">
        <v>24</v>
      </c>
      <c r="J170" t="s">
        <v>18</v>
      </c>
      <c r="K170">
        <v>10</v>
      </c>
      <c r="L170">
        <v>50</v>
      </c>
      <c r="M170">
        <v>500</v>
      </c>
      <c r="N170" t="s">
        <v>19</v>
      </c>
    </row>
    <row r="171" spans="1:14" x14ac:dyDescent="0.2">
      <c r="A171">
        <v>368</v>
      </c>
      <c r="B171" t="s">
        <v>43</v>
      </c>
      <c r="C171" t="s">
        <v>42</v>
      </c>
      <c r="D171" s="30">
        <v>39008</v>
      </c>
      <c r="E171">
        <v>278031112</v>
      </c>
      <c r="F171">
        <v>13</v>
      </c>
      <c r="G171" t="s">
        <v>64</v>
      </c>
      <c r="H171">
        <v>521</v>
      </c>
      <c r="I171" t="s">
        <v>22</v>
      </c>
      <c r="J171" t="s">
        <v>23</v>
      </c>
      <c r="K171">
        <v>98</v>
      </c>
      <c r="L171">
        <v>30</v>
      </c>
      <c r="M171">
        <v>2940</v>
      </c>
      <c r="N171" t="s">
        <v>19</v>
      </c>
    </row>
    <row r="172" spans="1:14" x14ac:dyDescent="0.2">
      <c r="A172">
        <v>367</v>
      </c>
      <c r="B172" t="s">
        <v>43</v>
      </c>
      <c r="C172" t="s">
        <v>42</v>
      </c>
      <c r="D172" s="30">
        <v>38981</v>
      </c>
      <c r="E172">
        <v>4309964385</v>
      </c>
      <c r="F172">
        <v>13</v>
      </c>
      <c r="G172" t="s">
        <v>64</v>
      </c>
      <c r="H172">
        <v>359</v>
      </c>
      <c r="I172" t="s">
        <v>17</v>
      </c>
      <c r="J172" t="s">
        <v>18</v>
      </c>
      <c r="K172">
        <v>15</v>
      </c>
      <c r="L172">
        <v>25</v>
      </c>
      <c r="M172">
        <v>375</v>
      </c>
      <c r="N172" t="s">
        <v>25</v>
      </c>
    </row>
    <row r="173" spans="1:14" x14ac:dyDescent="0.2">
      <c r="A173">
        <v>366</v>
      </c>
      <c r="B173" t="s">
        <v>43</v>
      </c>
      <c r="C173" t="s">
        <v>42</v>
      </c>
      <c r="D173" s="30">
        <v>38954</v>
      </c>
      <c r="E173">
        <v>7383733580</v>
      </c>
      <c r="F173">
        <v>13</v>
      </c>
      <c r="G173" t="s">
        <v>64</v>
      </c>
      <c r="H173">
        <v>909</v>
      </c>
      <c r="I173" t="s">
        <v>24</v>
      </c>
      <c r="J173" t="s">
        <v>18</v>
      </c>
      <c r="K173">
        <v>28</v>
      </c>
      <c r="L173">
        <v>50</v>
      </c>
      <c r="M173">
        <v>1400</v>
      </c>
      <c r="N173" t="s">
        <v>30</v>
      </c>
    </row>
    <row r="174" spans="1:14" x14ac:dyDescent="0.2">
      <c r="A174">
        <v>365</v>
      </c>
      <c r="B174" t="s">
        <v>43</v>
      </c>
      <c r="C174" t="s">
        <v>42</v>
      </c>
      <c r="D174" s="30">
        <v>38909</v>
      </c>
      <c r="E174">
        <v>7559585521</v>
      </c>
      <c r="F174">
        <v>13</v>
      </c>
      <c r="G174" t="s">
        <v>64</v>
      </c>
      <c r="H174">
        <v>909</v>
      </c>
      <c r="I174" t="s">
        <v>24</v>
      </c>
      <c r="J174" t="s">
        <v>18</v>
      </c>
      <c r="K174">
        <v>16</v>
      </c>
      <c r="L174">
        <v>50</v>
      </c>
      <c r="M174">
        <v>800</v>
      </c>
      <c r="N174" t="s">
        <v>19</v>
      </c>
    </row>
    <row r="175" spans="1:14" x14ac:dyDescent="0.2">
      <c r="A175">
        <v>364</v>
      </c>
      <c r="B175" t="s">
        <v>43</v>
      </c>
      <c r="C175" t="s">
        <v>42</v>
      </c>
      <c r="D175" s="30">
        <v>38081</v>
      </c>
      <c r="E175">
        <v>278031112</v>
      </c>
      <c r="F175">
        <v>13</v>
      </c>
      <c r="G175" t="s">
        <v>64</v>
      </c>
      <c r="H175">
        <v>521</v>
      </c>
      <c r="I175" t="s">
        <v>22</v>
      </c>
      <c r="J175" t="s">
        <v>23</v>
      </c>
      <c r="K175">
        <v>23</v>
      </c>
      <c r="L175">
        <v>30</v>
      </c>
      <c r="M175">
        <v>690</v>
      </c>
      <c r="N175" t="s">
        <v>19</v>
      </c>
    </row>
    <row r="176" spans="1:14" x14ac:dyDescent="0.2">
      <c r="A176">
        <v>363</v>
      </c>
      <c r="B176" t="s">
        <v>43</v>
      </c>
      <c r="C176" t="s">
        <v>42</v>
      </c>
      <c r="D176" s="30">
        <v>38054</v>
      </c>
      <c r="E176">
        <v>4309964385</v>
      </c>
      <c r="F176">
        <v>13</v>
      </c>
      <c r="G176" t="s">
        <v>64</v>
      </c>
      <c r="H176">
        <v>359</v>
      </c>
      <c r="I176" t="s">
        <v>17</v>
      </c>
      <c r="J176" t="s">
        <v>18</v>
      </c>
      <c r="K176">
        <v>67</v>
      </c>
      <c r="L176">
        <v>25</v>
      </c>
      <c r="M176">
        <v>1675</v>
      </c>
      <c r="N176" t="s">
        <v>25</v>
      </c>
    </row>
    <row r="177" spans="1:14" x14ac:dyDescent="0.2">
      <c r="A177">
        <v>362</v>
      </c>
      <c r="B177" t="s">
        <v>43</v>
      </c>
      <c r="C177" t="s">
        <v>42</v>
      </c>
      <c r="D177" s="30">
        <v>38027</v>
      </c>
      <c r="E177">
        <v>7383733580</v>
      </c>
      <c r="F177">
        <v>13</v>
      </c>
      <c r="G177" t="s">
        <v>64</v>
      </c>
      <c r="H177">
        <v>909</v>
      </c>
      <c r="I177" t="s">
        <v>24</v>
      </c>
      <c r="J177" t="s">
        <v>18</v>
      </c>
      <c r="K177">
        <v>81</v>
      </c>
      <c r="L177">
        <v>50</v>
      </c>
      <c r="M177">
        <v>4050</v>
      </c>
      <c r="N177" t="s">
        <v>30</v>
      </c>
    </row>
    <row r="178" spans="1:14" x14ac:dyDescent="0.2">
      <c r="A178">
        <v>361</v>
      </c>
      <c r="B178" t="s">
        <v>43</v>
      </c>
      <c r="C178" t="s">
        <v>42</v>
      </c>
      <c r="D178" s="30">
        <v>37982</v>
      </c>
      <c r="E178">
        <v>7559585521</v>
      </c>
      <c r="F178">
        <v>13</v>
      </c>
      <c r="G178" t="s">
        <v>64</v>
      </c>
      <c r="H178">
        <v>909</v>
      </c>
      <c r="I178" t="s">
        <v>24</v>
      </c>
      <c r="J178" t="s">
        <v>18</v>
      </c>
      <c r="K178">
        <v>29</v>
      </c>
      <c r="L178">
        <v>50</v>
      </c>
      <c r="M178">
        <v>1450</v>
      </c>
      <c r="N178" t="s">
        <v>19</v>
      </c>
    </row>
    <row r="179" spans="1:14" x14ac:dyDescent="0.2">
      <c r="A179">
        <v>360</v>
      </c>
      <c r="B179" t="s">
        <v>43</v>
      </c>
      <c r="C179" t="s">
        <v>42</v>
      </c>
      <c r="D179" s="30">
        <v>37154</v>
      </c>
      <c r="E179">
        <v>278031112</v>
      </c>
      <c r="F179">
        <v>13</v>
      </c>
      <c r="G179" t="s">
        <v>64</v>
      </c>
      <c r="H179">
        <v>521</v>
      </c>
      <c r="I179" t="s">
        <v>22</v>
      </c>
      <c r="J179" t="s">
        <v>23</v>
      </c>
      <c r="K179">
        <v>43</v>
      </c>
      <c r="L179">
        <v>30</v>
      </c>
      <c r="M179">
        <v>1290</v>
      </c>
      <c r="N179" t="s">
        <v>19</v>
      </c>
    </row>
    <row r="180" spans="1:14" x14ac:dyDescent="0.2">
      <c r="A180">
        <v>359</v>
      </c>
      <c r="B180" t="s">
        <v>43</v>
      </c>
      <c r="C180" t="s">
        <v>42</v>
      </c>
      <c r="D180" s="30">
        <v>37127</v>
      </c>
      <c r="E180">
        <v>4309964385</v>
      </c>
      <c r="F180">
        <v>13</v>
      </c>
      <c r="G180" t="s">
        <v>64</v>
      </c>
      <c r="H180">
        <v>359</v>
      </c>
      <c r="I180" t="s">
        <v>17</v>
      </c>
      <c r="J180" t="s">
        <v>18</v>
      </c>
      <c r="K180">
        <v>11</v>
      </c>
      <c r="L180">
        <v>25</v>
      </c>
      <c r="M180">
        <v>275</v>
      </c>
      <c r="N180" t="s">
        <v>25</v>
      </c>
    </row>
    <row r="181" spans="1:14" x14ac:dyDescent="0.2">
      <c r="A181">
        <v>358</v>
      </c>
      <c r="B181" t="s">
        <v>43</v>
      </c>
      <c r="C181" t="s">
        <v>42</v>
      </c>
      <c r="D181" s="30">
        <v>37100</v>
      </c>
      <c r="E181">
        <v>7383733580</v>
      </c>
      <c r="F181">
        <v>13</v>
      </c>
      <c r="G181" t="s">
        <v>64</v>
      </c>
      <c r="H181">
        <v>909</v>
      </c>
      <c r="I181" t="s">
        <v>24</v>
      </c>
      <c r="J181" t="s">
        <v>18</v>
      </c>
      <c r="K181">
        <v>15</v>
      </c>
      <c r="L181">
        <v>50</v>
      </c>
      <c r="M181">
        <v>750</v>
      </c>
      <c r="N181" t="s">
        <v>30</v>
      </c>
    </row>
    <row r="182" spans="1:14" x14ac:dyDescent="0.2">
      <c r="A182">
        <v>357</v>
      </c>
      <c r="B182" t="s">
        <v>43</v>
      </c>
      <c r="C182" t="s">
        <v>42</v>
      </c>
      <c r="D182" s="30">
        <v>37055</v>
      </c>
      <c r="E182">
        <v>7559585521</v>
      </c>
      <c r="F182">
        <v>13</v>
      </c>
      <c r="G182" t="s">
        <v>64</v>
      </c>
      <c r="H182">
        <v>909</v>
      </c>
      <c r="I182" t="s">
        <v>24</v>
      </c>
      <c r="J182" t="s">
        <v>18</v>
      </c>
      <c r="K182">
        <v>25</v>
      </c>
      <c r="L182">
        <v>50</v>
      </c>
      <c r="M182">
        <v>1250</v>
      </c>
      <c r="N182" t="s">
        <v>19</v>
      </c>
    </row>
    <row r="183" spans="1:14" x14ac:dyDescent="0.2">
      <c r="A183">
        <v>356</v>
      </c>
      <c r="B183" t="s">
        <v>43</v>
      </c>
      <c r="C183" t="s">
        <v>42</v>
      </c>
      <c r="D183" s="30">
        <v>36227</v>
      </c>
      <c r="E183">
        <v>278031112</v>
      </c>
      <c r="F183">
        <v>31</v>
      </c>
      <c r="G183" t="s">
        <v>63</v>
      </c>
      <c r="H183">
        <v>521</v>
      </c>
      <c r="I183" t="s">
        <v>22</v>
      </c>
      <c r="J183" t="s">
        <v>23</v>
      </c>
      <c r="K183">
        <v>38</v>
      </c>
      <c r="L183">
        <v>30</v>
      </c>
      <c r="M183">
        <v>1140</v>
      </c>
      <c r="N183" t="s">
        <v>19</v>
      </c>
    </row>
    <row r="184" spans="1:14" x14ac:dyDescent="0.2">
      <c r="A184">
        <v>355</v>
      </c>
      <c r="B184" t="s">
        <v>43</v>
      </c>
      <c r="C184" t="s">
        <v>42</v>
      </c>
      <c r="D184" s="30">
        <v>36200</v>
      </c>
      <c r="E184">
        <v>4309964385</v>
      </c>
      <c r="F184">
        <v>31</v>
      </c>
      <c r="G184" t="s">
        <v>63</v>
      </c>
      <c r="H184">
        <v>359</v>
      </c>
      <c r="I184" t="s">
        <v>17</v>
      </c>
      <c r="J184" t="s">
        <v>18</v>
      </c>
      <c r="K184">
        <v>27</v>
      </c>
      <c r="L184">
        <v>25</v>
      </c>
      <c r="M184">
        <v>675</v>
      </c>
      <c r="N184" t="s">
        <v>25</v>
      </c>
    </row>
    <row r="185" spans="1:14" x14ac:dyDescent="0.2">
      <c r="A185">
        <v>354</v>
      </c>
      <c r="B185" t="s">
        <v>43</v>
      </c>
      <c r="C185" t="s">
        <v>42</v>
      </c>
      <c r="D185" s="30">
        <v>36173</v>
      </c>
      <c r="E185">
        <v>7383733580</v>
      </c>
      <c r="F185">
        <v>31</v>
      </c>
      <c r="G185" t="s">
        <v>63</v>
      </c>
      <c r="H185">
        <v>909</v>
      </c>
      <c r="I185" t="s">
        <v>24</v>
      </c>
      <c r="J185" t="s">
        <v>18</v>
      </c>
      <c r="K185">
        <v>44</v>
      </c>
      <c r="L185">
        <v>50</v>
      </c>
      <c r="M185">
        <v>2200</v>
      </c>
      <c r="N185" t="s">
        <v>30</v>
      </c>
    </row>
    <row r="186" spans="1:14" x14ac:dyDescent="0.2">
      <c r="A186">
        <v>353</v>
      </c>
      <c r="B186" t="s">
        <v>43</v>
      </c>
      <c r="C186" t="s">
        <v>42</v>
      </c>
      <c r="D186" s="30">
        <v>36128</v>
      </c>
      <c r="E186">
        <v>7559585521</v>
      </c>
      <c r="F186">
        <v>31</v>
      </c>
      <c r="G186" t="s">
        <v>63</v>
      </c>
      <c r="H186">
        <v>909</v>
      </c>
      <c r="I186" t="s">
        <v>24</v>
      </c>
      <c r="J186" t="s">
        <v>18</v>
      </c>
      <c r="K186">
        <v>51</v>
      </c>
      <c r="L186">
        <v>50</v>
      </c>
      <c r="M186">
        <v>2550</v>
      </c>
      <c r="N186" t="s">
        <v>19</v>
      </c>
    </row>
    <row r="187" spans="1:14" x14ac:dyDescent="0.2">
      <c r="A187">
        <v>352</v>
      </c>
      <c r="B187" t="s">
        <v>43</v>
      </c>
      <c r="C187" t="s">
        <v>42</v>
      </c>
      <c r="D187" s="30">
        <v>35300</v>
      </c>
      <c r="E187">
        <v>278031112</v>
      </c>
      <c r="F187">
        <v>31</v>
      </c>
      <c r="G187" t="s">
        <v>63</v>
      </c>
      <c r="H187">
        <v>521</v>
      </c>
      <c r="I187" t="s">
        <v>22</v>
      </c>
      <c r="J187" t="s">
        <v>23</v>
      </c>
      <c r="K187">
        <v>28</v>
      </c>
      <c r="L187">
        <v>30</v>
      </c>
      <c r="M187">
        <v>840</v>
      </c>
      <c r="N187" t="s">
        <v>19</v>
      </c>
    </row>
    <row r="188" spans="1:14" x14ac:dyDescent="0.2">
      <c r="A188">
        <v>351</v>
      </c>
      <c r="B188" t="s">
        <v>43</v>
      </c>
      <c r="C188" t="s">
        <v>42</v>
      </c>
      <c r="D188" s="30">
        <v>35273</v>
      </c>
      <c r="E188">
        <v>4309964385</v>
      </c>
      <c r="F188">
        <v>31</v>
      </c>
      <c r="G188" t="s">
        <v>63</v>
      </c>
      <c r="H188">
        <v>359</v>
      </c>
      <c r="I188" t="s">
        <v>17</v>
      </c>
      <c r="J188" t="s">
        <v>18</v>
      </c>
      <c r="K188">
        <v>14</v>
      </c>
      <c r="L188">
        <v>25</v>
      </c>
      <c r="M188">
        <v>350</v>
      </c>
      <c r="N188" t="s">
        <v>25</v>
      </c>
    </row>
    <row r="189" spans="1:14" x14ac:dyDescent="0.2">
      <c r="A189">
        <v>350</v>
      </c>
      <c r="B189" t="s">
        <v>43</v>
      </c>
      <c r="C189" t="s">
        <v>42</v>
      </c>
      <c r="D189" s="30">
        <v>35246</v>
      </c>
      <c r="E189">
        <v>7383733580</v>
      </c>
      <c r="F189">
        <v>31</v>
      </c>
      <c r="G189" t="s">
        <v>63</v>
      </c>
      <c r="H189">
        <v>909</v>
      </c>
      <c r="I189" t="s">
        <v>24</v>
      </c>
      <c r="J189" t="s">
        <v>18</v>
      </c>
      <c r="K189">
        <v>60</v>
      </c>
      <c r="L189">
        <v>50</v>
      </c>
      <c r="M189">
        <v>3000</v>
      </c>
      <c r="N189" t="s">
        <v>30</v>
      </c>
    </row>
    <row r="190" spans="1:14" x14ac:dyDescent="0.2">
      <c r="A190">
        <v>349</v>
      </c>
      <c r="B190" t="s">
        <v>43</v>
      </c>
      <c r="C190" t="s">
        <v>42</v>
      </c>
      <c r="D190" s="30">
        <v>35201</v>
      </c>
      <c r="E190">
        <v>7559585521</v>
      </c>
      <c r="F190">
        <v>31</v>
      </c>
      <c r="G190" t="s">
        <v>63</v>
      </c>
      <c r="H190">
        <v>909</v>
      </c>
      <c r="I190" t="s">
        <v>24</v>
      </c>
      <c r="J190" t="s">
        <v>18</v>
      </c>
      <c r="K190">
        <v>85</v>
      </c>
      <c r="L190">
        <v>50</v>
      </c>
      <c r="M190">
        <v>4250</v>
      </c>
      <c r="N190" t="s">
        <v>19</v>
      </c>
    </row>
    <row r="191" spans="1:14" x14ac:dyDescent="0.2">
      <c r="A191">
        <v>348</v>
      </c>
      <c r="B191" t="s">
        <v>41</v>
      </c>
      <c r="C191" t="s">
        <v>42</v>
      </c>
      <c r="D191" s="30">
        <v>40250</v>
      </c>
      <c r="E191">
        <v>1458538534</v>
      </c>
      <c r="F191">
        <v>31</v>
      </c>
      <c r="G191" t="s">
        <v>63</v>
      </c>
      <c r="H191">
        <v>195</v>
      </c>
      <c r="I191" t="s">
        <v>36</v>
      </c>
      <c r="J191" t="s">
        <v>18</v>
      </c>
      <c r="K191">
        <v>36</v>
      </c>
      <c r="L191">
        <v>60</v>
      </c>
      <c r="M191">
        <v>2160</v>
      </c>
      <c r="N191" t="s">
        <v>25</v>
      </c>
    </row>
    <row r="192" spans="1:14" x14ac:dyDescent="0.2">
      <c r="A192">
        <v>347</v>
      </c>
      <c r="B192" t="s">
        <v>41</v>
      </c>
      <c r="C192" t="s">
        <v>42</v>
      </c>
      <c r="D192" s="30">
        <v>39323</v>
      </c>
      <c r="E192">
        <v>1458538534</v>
      </c>
      <c r="F192">
        <v>31</v>
      </c>
      <c r="G192" t="s">
        <v>63</v>
      </c>
      <c r="H192">
        <v>195</v>
      </c>
      <c r="I192" t="s">
        <v>36</v>
      </c>
      <c r="J192" t="s">
        <v>18</v>
      </c>
      <c r="K192">
        <v>96</v>
      </c>
      <c r="L192">
        <v>60</v>
      </c>
      <c r="M192">
        <v>5760</v>
      </c>
      <c r="N192" t="s">
        <v>25</v>
      </c>
    </row>
    <row r="193" spans="1:14" x14ac:dyDescent="0.2">
      <c r="A193">
        <v>346</v>
      </c>
      <c r="B193" t="s">
        <v>41</v>
      </c>
      <c r="C193" t="s">
        <v>42</v>
      </c>
      <c r="D193" s="30">
        <v>38396</v>
      </c>
      <c r="E193">
        <v>1458538534</v>
      </c>
      <c r="F193">
        <v>31</v>
      </c>
      <c r="G193" t="s">
        <v>63</v>
      </c>
      <c r="H193">
        <v>195</v>
      </c>
      <c r="I193" t="s">
        <v>36</v>
      </c>
      <c r="J193" t="s">
        <v>18</v>
      </c>
      <c r="K193">
        <v>39</v>
      </c>
      <c r="L193">
        <v>60</v>
      </c>
      <c r="M193">
        <v>2340</v>
      </c>
      <c r="N193" t="s">
        <v>25</v>
      </c>
    </row>
    <row r="194" spans="1:14" x14ac:dyDescent="0.2">
      <c r="A194">
        <v>345</v>
      </c>
      <c r="B194" t="s">
        <v>41</v>
      </c>
      <c r="C194" t="s">
        <v>42</v>
      </c>
      <c r="D194" s="30">
        <v>37469</v>
      </c>
      <c r="E194">
        <v>1458538534</v>
      </c>
      <c r="F194">
        <v>31</v>
      </c>
      <c r="G194" t="s">
        <v>63</v>
      </c>
      <c r="H194">
        <v>195</v>
      </c>
      <c r="I194" t="s">
        <v>36</v>
      </c>
      <c r="J194" t="s">
        <v>18</v>
      </c>
      <c r="K194">
        <v>29</v>
      </c>
      <c r="L194">
        <v>60</v>
      </c>
      <c r="M194">
        <v>1740</v>
      </c>
      <c r="N194" t="s">
        <v>25</v>
      </c>
    </row>
    <row r="195" spans="1:14" x14ac:dyDescent="0.2">
      <c r="A195">
        <v>344</v>
      </c>
      <c r="B195" t="s">
        <v>41</v>
      </c>
      <c r="C195" t="s">
        <v>42</v>
      </c>
      <c r="D195" s="30">
        <v>36542</v>
      </c>
      <c r="E195">
        <v>1458538534</v>
      </c>
      <c r="F195">
        <v>31</v>
      </c>
      <c r="G195" t="s">
        <v>63</v>
      </c>
      <c r="H195">
        <v>195</v>
      </c>
      <c r="I195" t="s">
        <v>36</v>
      </c>
      <c r="J195" t="s">
        <v>18</v>
      </c>
      <c r="K195">
        <v>94</v>
      </c>
      <c r="L195">
        <v>60</v>
      </c>
      <c r="M195">
        <v>5640</v>
      </c>
      <c r="N195" t="s">
        <v>25</v>
      </c>
    </row>
    <row r="196" spans="1:14" x14ac:dyDescent="0.2">
      <c r="A196">
        <v>343</v>
      </c>
      <c r="B196" t="s">
        <v>41</v>
      </c>
      <c r="C196" t="s">
        <v>42</v>
      </c>
      <c r="D196" s="30">
        <v>35615</v>
      </c>
      <c r="E196">
        <v>1458538534</v>
      </c>
      <c r="F196">
        <v>31</v>
      </c>
      <c r="G196" t="s">
        <v>63</v>
      </c>
      <c r="H196">
        <v>195</v>
      </c>
      <c r="I196" t="s">
        <v>36</v>
      </c>
      <c r="J196" t="s">
        <v>18</v>
      </c>
      <c r="K196">
        <v>87</v>
      </c>
      <c r="L196">
        <v>60</v>
      </c>
      <c r="M196">
        <v>5220</v>
      </c>
      <c r="N196" t="s">
        <v>25</v>
      </c>
    </row>
    <row r="197" spans="1:14" x14ac:dyDescent="0.2">
      <c r="A197">
        <v>342</v>
      </c>
      <c r="B197" t="s">
        <v>48</v>
      </c>
      <c r="C197" t="s">
        <v>42</v>
      </c>
      <c r="D197" s="30">
        <v>40142</v>
      </c>
      <c r="E197">
        <v>4264555207</v>
      </c>
      <c r="F197">
        <v>31</v>
      </c>
      <c r="G197" t="s">
        <v>63</v>
      </c>
      <c r="H197">
        <v>240</v>
      </c>
      <c r="I197" t="s">
        <v>17</v>
      </c>
      <c r="J197" t="s">
        <v>18</v>
      </c>
      <c r="K197">
        <v>23</v>
      </c>
      <c r="L197">
        <v>45</v>
      </c>
      <c r="M197">
        <v>1035</v>
      </c>
      <c r="N197" t="s">
        <v>19</v>
      </c>
    </row>
    <row r="198" spans="1:14" x14ac:dyDescent="0.2">
      <c r="A198">
        <v>341</v>
      </c>
      <c r="B198" t="s">
        <v>48</v>
      </c>
      <c r="C198" t="s">
        <v>42</v>
      </c>
      <c r="D198" s="30">
        <v>39215</v>
      </c>
      <c r="E198">
        <v>4264555207</v>
      </c>
      <c r="F198">
        <v>31</v>
      </c>
      <c r="G198" t="s">
        <v>63</v>
      </c>
      <c r="H198">
        <v>240</v>
      </c>
      <c r="I198" t="s">
        <v>17</v>
      </c>
      <c r="J198" t="s">
        <v>18</v>
      </c>
      <c r="K198">
        <v>67</v>
      </c>
      <c r="L198">
        <v>45</v>
      </c>
      <c r="M198">
        <v>3015</v>
      </c>
      <c r="N198" t="s">
        <v>19</v>
      </c>
    </row>
    <row r="199" spans="1:14" x14ac:dyDescent="0.2">
      <c r="A199">
        <v>340</v>
      </c>
      <c r="B199" t="s">
        <v>48</v>
      </c>
      <c r="C199" t="s">
        <v>42</v>
      </c>
      <c r="D199" s="30">
        <v>38288</v>
      </c>
      <c r="E199">
        <v>4264555207</v>
      </c>
      <c r="F199">
        <v>31</v>
      </c>
      <c r="G199" t="s">
        <v>63</v>
      </c>
      <c r="H199">
        <v>240</v>
      </c>
      <c r="I199" t="s">
        <v>17</v>
      </c>
      <c r="J199" t="s">
        <v>18</v>
      </c>
      <c r="K199">
        <v>14</v>
      </c>
      <c r="L199">
        <v>45</v>
      </c>
      <c r="M199">
        <v>630</v>
      </c>
      <c r="N199" t="s">
        <v>19</v>
      </c>
    </row>
    <row r="200" spans="1:14" x14ac:dyDescent="0.2">
      <c r="A200">
        <v>339</v>
      </c>
      <c r="B200" t="s">
        <v>48</v>
      </c>
      <c r="C200" t="s">
        <v>42</v>
      </c>
      <c r="D200" s="30">
        <v>37361</v>
      </c>
      <c r="E200">
        <v>4264555207</v>
      </c>
      <c r="F200">
        <v>31</v>
      </c>
      <c r="G200" t="s">
        <v>63</v>
      </c>
      <c r="H200">
        <v>240</v>
      </c>
      <c r="I200" t="s">
        <v>17</v>
      </c>
      <c r="J200" t="s">
        <v>18</v>
      </c>
      <c r="K200">
        <v>92</v>
      </c>
      <c r="L200">
        <v>45</v>
      </c>
      <c r="M200">
        <v>4140</v>
      </c>
      <c r="N200" t="s">
        <v>19</v>
      </c>
    </row>
    <row r="201" spans="1:14" x14ac:dyDescent="0.2">
      <c r="A201">
        <v>338</v>
      </c>
      <c r="B201" t="s">
        <v>48</v>
      </c>
      <c r="C201" t="s">
        <v>42</v>
      </c>
      <c r="D201" s="30">
        <v>36434</v>
      </c>
      <c r="E201">
        <v>4264555207</v>
      </c>
      <c r="F201">
        <v>31</v>
      </c>
      <c r="G201" t="s">
        <v>63</v>
      </c>
      <c r="H201">
        <v>240</v>
      </c>
      <c r="I201" t="s">
        <v>17</v>
      </c>
      <c r="J201" t="s">
        <v>18</v>
      </c>
      <c r="K201">
        <v>17</v>
      </c>
      <c r="L201">
        <v>45</v>
      </c>
      <c r="M201">
        <v>765</v>
      </c>
      <c r="N201" t="s">
        <v>19</v>
      </c>
    </row>
    <row r="202" spans="1:14" x14ac:dyDescent="0.2">
      <c r="A202">
        <v>201</v>
      </c>
      <c r="B202" t="s">
        <v>52</v>
      </c>
      <c r="C202" t="s">
        <v>42</v>
      </c>
      <c r="D202" s="30">
        <v>36785</v>
      </c>
      <c r="E202">
        <v>3576436279</v>
      </c>
      <c r="F202">
        <v>16</v>
      </c>
      <c r="G202" t="s">
        <v>54</v>
      </c>
      <c r="H202">
        <v>240</v>
      </c>
      <c r="I202" t="s">
        <v>17</v>
      </c>
      <c r="J202" t="s">
        <v>18</v>
      </c>
      <c r="K202">
        <v>60</v>
      </c>
      <c r="L202">
        <v>45</v>
      </c>
      <c r="M202">
        <v>2700</v>
      </c>
      <c r="N202" t="s">
        <v>19</v>
      </c>
    </row>
    <row r="203" spans="1:14" x14ac:dyDescent="0.2">
      <c r="A203">
        <v>202</v>
      </c>
      <c r="B203" t="s">
        <v>52</v>
      </c>
      <c r="C203" t="s">
        <v>42</v>
      </c>
      <c r="D203" s="30">
        <v>37649</v>
      </c>
      <c r="E203">
        <v>5511549800</v>
      </c>
      <c r="F203">
        <v>16</v>
      </c>
      <c r="G203" t="s">
        <v>54</v>
      </c>
      <c r="H203">
        <v>454</v>
      </c>
      <c r="I203" t="s">
        <v>38</v>
      </c>
      <c r="J203" t="s">
        <v>18</v>
      </c>
      <c r="K203">
        <v>56</v>
      </c>
      <c r="L203">
        <v>15</v>
      </c>
      <c r="M203">
        <v>840</v>
      </c>
      <c r="N203" t="s">
        <v>19</v>
      </c>
    </row>
    <row r="204" spans="1:14" x14ac:dyDescent="0.2">
      <c r="A204">
        <v>203</v>
      </c>
      <c r="B204" t="s">
        <v>52</v>
      </c>
      <c r="C204" t="s">
        <v>42</v>
      </c>
      <c r="D204" s="30">
        <v>37667</v>
      </c>
      <c r="E204">
        <v>889708731</v>
      </c>
      <c r="F204">
        <v>16</v>
      </c>
      <c r="G204" t="s">
        <v>54</v>
      </c>
      <c r="H204">
        <v>568</v>
      </c>
      <c r="I204" t="s">
        <v>28</v>
      </c>
      <c r="J204" t="s">
        <v>29</v>
      </c>
      <c r="K204">
        <v>60</v>
      </c>
      <c r="L204">
        <v>1</v>
      </c>
      <c r="M204">
        <v>60</v>
      </c>
      <c r="N204" t="s">
        <v>30</v>
      </c>
    </row>
    <row r="205" spans="1:14" x14ac:dyDescent="0.2">
      <c r="A205">
        <v>204</v>
      </c>
      <c r="B205" t="s">
        <v>52</v>
      </c>
      <c r="C205" t="s">
        <v>42</v>
      </c>
      <c r="D205" s="30">
        <v>37712</v>
      </c>
      <c r="E205">
        <v>3576436279</v>
      </c>
      <c r="F205">
        <v>16</v>
      </c>
      <c r="G205" t="s">
        <v>54</v>
      </c>
      <c r="H205">
        <v>240</v>
      </c>
      <c r="I205" t="s">
        <v>17</v>
      </c>
      <c r="J205" t="s">
        <v>18</v>
      </c>
      <c r="K205">
        <v>80</v>
      </c>
      <c r="L205">
        <v>45</v>
      </c>
      <c r="M205">
        <v>3600</v>
      </c>
      <c r="N205" t="s">
        <v>19</v>
      </c>
    </row>
    <row r="206" spans="1:14" x14ac:dyDescent="0.2">
      <c r="A206">
        <v>205</v>
      </c>
      <c r="B206" t="s">
        <v>52</v>
      </c>
      <c r="C206" t="s">
        <v>42</v>
      </c>
      <c r="D206" s="30">
        <v>38576</v>
      </c>
      <c r="E206">
        <v>5511549800</v>
      </c>
      <c r="F206">
        <v>16</v>
      </c>
      <c r="G206" t="s">
        <v>54</v>
      </c>
      <c r="H206">
        <v>454</v>
      </c>
      <c r="I206" t="s">
        <v>38</v>
      </c>
      <c r="J206" t="s">
        <v>18</v>
      </c>
      <c r="K206">
        <v>68</v>
      </c>
      <c r="L206">
        <v>15</v>
      </c>
      <c r="M206">
        <v>1020</v>
      </c>
      <c r="N206" t="s">
        <v>19</v>
      </c>
    </row>
    <row r="207" spans="1:14" x14ac:dyDescent="0.2">
      <c r="A207">
        <v>206</v>
      </c>
      <c r="B207" t="s">
        <v>52</v>
      </c>
      <c r="C207" t="s">
        <v>42</v>
      </c>
      <c r="D207" s="30">
        <v>38594</v>
      </c>
      <c r="E207">
        <v>889708731</v>
      </c>
      <c r="F207">
        <v>16</v>
      </c>
      <c r="G207" t="s">
        <v>54</v>
      </c>
      <c r="H207">
        <v>568</v>
      </c>
      <c r="I207" t="s">
        <v>28</v>
      </c>
      <c r="J207" t="s">
        <v>29</v>
      </c>
      <c r="K207">
        <v>73</v>
      </c>
      <c r="L207">
        <v>1</v>
      </c>
      <c r="M207">
        <v>73</v>
      </c>
      <c r="N207" t="s">
        <v>30</v>
      </c>
    </row>
    <row r="208" spans="1:14" x14ac:dyDescent="0.2">
      <c r="A208">
        <v>207</v>
      </c>
      <c r="B208" t="s">
        <v>52</v>
      </c>
      <c r="C208" t="s">
        <v>42</v>
      </c>
      <c r="D208" s="30">
        <v>38639</v>
      </c>
      <c r="E208">
        <v>3576436279</v>
      </c>
      <c r="F208">
        <v>16</v>
      </c>
      <c r="G208" t="s">
        <v>54</v>
      </c>
      <c r="H208">
        <v>240</v>
      </c>
      <c r="I208" t="s">
        <v>17</v>
      </c>
      <c r="J208" t="s">
        <v>18</v>
      </c>
      <c r="K208">
        <v>79</v>
      </c>
      <c r="L208">
        <v>45</v>
      </c>
      <c r="M208">
        <v>3555</v>
      </c>
      <c r="N208" t="s">
        <v>19</v>
      </c>
    </row>
    <row r="209" spans="1:14" x14ac:dyDescent="0.2">
      <c r="A209">
        <v>208</v>
      </c>
      <c r="B209" t="s">
        <v>52</v>
      </c>
      <c r="C209" t="s">
        <v>42</v>
      </c>
      <c r="D209" s="30">
        <v>39503</v>
      </c>
      <c r="E209">
        <v>5511549800</v>
      </c>
      <c r="F209">
        <v>16</v>
      </c>
      <c r="G209" t="s">
        <v>54</v>
      </c>
      <c r="H209">
        <v>454</v>
      </c>
      <c r="I209" t="s">
        <v>38</v>
      </c>
      <c r="J209" t="s">
        <v>18</v>
      </c>
      <c r="K209">
        <v>87</v>
      </c>
      <c r="L209">
        <v>15</v>
      </c>
      <c r="M209">
        <v>1305</v>
      </c>
      <c r="N209" t="s">
        <v>19</v>
      </c>
    </row>
    <row r="210" spans="1:14" x14ac:dyDescent="0.2">
      <c r="A210">
        <v>209</v>
      </c>
      <c r="B210" t="s">
        <v>52</v>
      </c>
      <c r="C210" t="s">
        <v>42</v>
      </c>
      <c r="D210" s="30">
        <v>39521</v>
      </c>
      <c r="E210">
        <v>889708731</v>
      </c>
      <c r="F210">
        <v>16</v>
      </c>
      <c r="G210" t="s">
        <v>54</v>
      </c>
      <c r="H210">
        <v>568</v>
      </c>
      <c r="I210" t="s">
        <v>28</v>
      </c>
      <c r="J210" t="s">
        <v>29</v>
      </c>
      <c r="K210">
        <v>86</v>
      </c>
      <c r="L210">
        <v>1</v>
      </c>
      <c r="M210">
        <v>86</v>
      </c>
      <c r="N210" t="s">
        <v>30</v>
      </c>
    </row>
    <row r="211" spans="1:14" x14ac:dyDescent="0.2">
      <c r="A211">
        <v>210</v>
      </c>
      <c r="B211" t="s">
        <v>52</v>
      </c>
      <c r="C211" t="s">
        <v>42</v>
      </c>
      <c r="D211" s="30">
        <v>39566</v>
      </c>
      <c r="E211">
        <v>3576436279</v>
      </c>
      <c r="F211">
        <v>16</v>
      </c>
      <c r="G211" t="s">
        <v>54</v>
      </c>
      <c r="H211">
        <v>240</v>
      </c>
      <c r="I211" t="s">
        <v>17</v>
      </c>
      <c r="J211" t="s">
        <v>18</v>
      </c>
      <c r="K211">
        <v>47</v>
      </c>
      <c r="L211">
        <v>45</v>
      </c>
      <c r="M211">
        <v>2115</v>
      </c>
      <c r="N211" t="s">
        <v>19</v>
      </c>
    </row>
    <row r="212" spans="1:14" x14ac:dyDescent="0.2">
      <c r="A212">
        <v>211</v>
      </c>
      <c r="B212" t="s">
        <v>55</v>
      </c>
      <c r="C212" t="s">
        <v>42</v>
      </c>
      <c r="D212" s="30">
        <v>35012</v>
      </c>
      <c r="E212">
        <v>6503045780</v>
      </c>
      <c r="F212">
        <v>16</v>
      </c>
      <c r="G212" t="s">
        <v>54</v>
      </c>
      <c r="H212">
        <v>534</v>
      </c>
      <c r="I212" t="s">
        <v>17</v>
      </c>
      <c r="J212" t="s">
        <v>18</v>
      </c>
      <c r="K212">
        <v>73</v>
      </c>
      <c r="L212">
        <v>25</v>
      </c>
      <c r="M212">
        <v>1825</v>
      </c>
      <c r="N212" t="s">
        <v>30</v>
      </c>
    </row>
    <row r="213" spans="1:14" x14ac:dyDescent="0.2">
      <c r="A213">
        <v>212</v>
      </c>
      <c r="B213" t="s">
        <v>55</v>
      </c>
      <c r="C213" t="s">
        <v>42</v>
      </c>
      <c r="D213" s="30">
        <v>35939</v>
      </c>
      <c r="E213">
        <v>6503045780</v>
      </c>
      <c r="F213">
        <v>16</v>
      </c>
      <c r="G213" t="s">
        <v>54</v>
      </c>
      <c r="H213">
        <v>534</v>
      </c>
      <c r="I213" t="s">
        <v>17</v>
      </c>
      <c r="J213" t="s">
        <v>18</v>
      </c>
      <c r="K213">
        <v>35</v>
      </c>
      <c r="L213">
        <v>25</v>
      </c>
      <c r="M213">
        <v>875</v>
      </c>
      <c r="N213" t="s">
        <v>30</v>
      </c>
    </row>
    <row r="214" spans="1:14" x14ac:dyDescent="0.2">
      <c r="A214">
        <v>213</v>
      </c>
      <c r="B214" t="s">
        <v>55</v>
      </c>
      <c r="C214" t="s">
        <v>42</v>
      </c>
      <c r="D214" s="30">
        <v>36866</v>
      </c>
      <c r="E214">
        <v>6503045780</v>
      </c>
      <c r="F214">
        <v>16</v>
      </c>
      <c r="G214" t="s">
        <v>54</v>
      </c>
      <c r="H214">
        <v>534</v>
      </c>
      <c r="I214" t="s">
        <v>17</v>
      </c>
      <c r="J214" t="s">
        <v>18</v>
      </c>
      <c r="K214">
        <v>47</v>
      </c>
      <c r="L214">
        <v>25</v>
      </c>
      <c r="M214">
        <v>1175</v>
      </c>
      <c r="N214" t="s">
        <v>30</v>
      </c>
    </row>
    <row r="215" spans="1:14" x14ac:dyDescent="0.2">
      <c r="A215">
        <v>214</v>
      </c>
      <c r="B215" t="s">
        <v>55</v>
      </c>
      <c r="C215" t="s">
        <v>42</v>
      </c>
      <c r="D215" s="30">
        <v>37793</v>
      </c>
      <c r="E215">
        <v>6503045780</v>
      </c>
      <c r="F215">
        <v>16</v>
      </c>
      <c r="G215" t="s">
        <v>54</v>
      </c>
      <c r="H215">
        <v>534</v>
      </c>
      <c r="I215" t="s">
        <v>17</v>
      </c>
      <c r="J215" t="s">
        <v>18</v>
      </c>
      <c r="K215">
        <v>93</v>
      </c>
      <c r="L215">
        <v>25</v>
      </c>
      <c r="M215">
        <v>2325</v>
      </c>
      <c r="N215" t="s">
        <v>30</v>
      </c>
    </row>
    <row r="216" spans="1:14" x14ac:dyDescent="0.2">
      <c r="A216">
        <v>215</v>
      </c>
      <c r="B216" t="s">
        <v>55</v>
      </c>
      <c r="C216" t="s">
        <v>42</v>
      </c>
      <c r="D216" s="30">
        <v>38720</v>
      </c>
      <c r="E216">
        <v>6503045780</v>
      </c>
      <c r="F216">
        <v>16</v>
      </c>
      <c r="G216" t="s">
        <v>54</v>
      </c>
      <c r="H216">
        <v>534</v>
      </c>
      <c r="I216" t="s">
        <v>17</v>
      </c>
      <c r="J216" t="s">
        <v>18</v>
      </c>
      <c r="K216">
        <v>95</v>
      </c>
      <c r="L216">
        <v>25</v>
      </c>
      <c r="M216">
        <v>2375</v>
      </c>
      <c r="N216" t="s">
        <v>30</v>
      </c>
    </row>
    <row r="217" spans="1:14" x14ac:dyDescent="0.2">
      <c r="A217">
        <v>216</v>
      </c>
      <c r="B217" t="s">
        <v>55</v>
      </c>
      <c r="C217" t="s">
        <v>42</v>
      </c>
      <c r="D217" s="30">
        <v>39647</v>
      </c>
      <c r="E217">
        <v>6503045780</v>
      </c>
      <c r="F217">
        <v>16</v>
      </c>
      <c r="G217" t="s">
        <v>54</v>
      </c>
      <c r="H217">
        <v>534</v>
      </c>
      <c r="I217" t="s">
        <v>17</v>
      </c>
      <c r="J217" t="s">
        <v>18</v>
      </c>
      <c r="K217">
        <v>42</v>
      </c>
      <c r="L217">
        <v>25</v>
      </c>
      <c r="M217">
        <v>1050</v>
      </c>
      <c r="N217" t="s">
        <v>30</v>
      </c>
    </row>
    <row r="218" spans="1:14" x14ac:dyDescent="0.2">
      <c r="A218">
        <v>337</v>
      </c>
      <c r="B218" t="s">
        <v>48</v>
      </c>
      <c r="C218" t="s">
        <v>42</v>
      </c>
      <c r="D218" s="30">
        <v>35507</v>
      </c>
      <c r="E218">
        <v>4264555207</v>
      </c>
      <c r="F218">
        <v>31</v>
      </c>
      <c r="G218" t="s">
        <v>63</v>
      </c>
      <c r="H218">
        <v>240</v>
      </c>
      <c r="I218" t="s">
        <v>17</v>
      </c>
      <c r="J218" t="s">
        <v>18</v>
      </c>
      <c r="K218">
        <v>60</v>
      </c>
      <c r="L218">
        <v>45</v>
      </c>
      <c r="M218">
        <v>2700</v>
      </c>
      <c r="N218" t="s">
        <v>19</v>
      </c>
    </row>
    <row r="219" spans="1:14" x14ac:dyDescent="0.2">
      <c r="A219">
        <v>336</v>
      </c>
      <c r="B219" t="s">
        <v>43</v>
      </c>
      <c r="C219" t="s">
        <v>42</v>
      </c>
      <c r="D219" s="30">
        <v>39989</v>
      </c>
      <c r="E219">
        <v>126577112</v>
      </c>
      <c r="F219">
        <v>22</v>
      </c>
      <c r="G219" t="s">
        <v>61</v>
      </c>
      <c r="H219">
        <v>704</v>
      </c>
      <c r="I219" t="s">
        <v>36</v>
      </c>
      <c r="J219" t="s">
        <v>18</v>
      </c>
      <c r="K219">
        <v>32</v>
      </c>
      <c r="L219">
        <v>60</v>
      </c>
      <c r="M219">
        <v>1920</v>
      </c>
      <c r="N219" t="s">
        <v>19</v>
      </c>
    </row>
    <row r="220" spans="1:14" x14ac:dyDescent="0.2">
      <c r="A220">
        <v>335</v>
      </c>
      <c r="B220" t="s">
        <v>43</v>
      </c>
      <c r="C220" t="s">
        <v>42</v>
      </c>
      <c r="D220" s="30">
        <v>39980</v>
      </c>
      <c r="E220">
        <v>5224952996</v>
      </c>
      <c r="F220">
        <v>22</v>
      </c>
      <c r="G220" t="s">
        <v>61</v>
      </c>
      <c r="H220">
        <v>454</v>
      </c>
      <c r="I220" t="s">
        <v>38</v>
      </c>
      <c r="J220" t="s">
        <v>18</v>
      </c>
      <c r="K220">
        <v>46</v>
      </c>
      <c r="L220">
        <v>15</v>
      </c>
      <c r="M220">
        <v>690</v>
      </c>
      <c r="N220" t="s">
        <v>30</v>
      </c>
    </row>
    <row r="221" spans="1:14" x14ac:dyDescent="0.2">
      <c r="A221">
        <v>334</v>
      </c>
      <c r="B221" t="s">
        <v>43</v>
      </c>
      <c r="C221" t="s">
        <v>42</v>
      </c>
      <c r="D221" s="30">
        <v>39854</v>
      </c>
      <c r="E221">
        <v>8088850186</v>
      </c>
      <c r="F221">
        <v>22</v>
      </c>
      <c r="G221" t="s">
        <v>61</v>
      </c>
      <c r="H221">
        <v>454</v>
      </c>
      <c r="I221" t="s">
        <v>38</v>
      </c>
      <c r="J221" t="s">
        <v>18</v>
      </c>
      <c r="K221">
        <v>41</v>
      </c>
      <c r="L221">
        <v>15</v>
      </c>
      <c r="M221">
        <v>615</v>
      </c>
      <c r="N221" t="s">
        <v>30</v>
      </c>
    </row>
    <row r="222" spans="1:14" x14ac:dyDescent="0.2">
      <c r="A222">
        <v>333</v>
      </c>
      <c r="B222" t="s">
        <v>43</v>
      </c>
      <c r="C222" t="s">
        <v>42</v>
      </c>
      <c r="D222" s="30">
        <v>39062</v>
      </c>
      <c r="E222">
        <v>126577112</v>
      </c>
      <c r="F222">
        <v>49</v>
      </c>
      <c r="G222" t="s">
        <v>62</v>
      </c>
      <c r="H222">
        <v>704</v>
      </c>
      <c r="I222" t="s">
        <v>36</v>
      </c>
      <c r="J222" t="s">
        <v>18</v>
      </c>
      <c r="K222">
        <v>80</v>
      </c>
      <c r="L222">
        <v>60</v>
      </c>
      <c r="M222">
        <v>4800</v>
      </c>
      <c r="N222" t="s">
        <v>19</v>
      </c>
    </row>
    <row r="223" spans="1:14" x14ac:dyDescent="0.2">
      <c r="A223">
        <v>332</v>
      </c>
      <c r="B223" t="s">
        <v>43</v>
      </c>
      <c r="C223" t="s">
        <v>42</v>
      </c>
      <c r="D223" s="30">
        <v>39053</v>
      </c>
      <c r="E223">
        <v>5224952996</v>
      </c>
      <c r="F223">
        <v>49</v>
      </c>
      <c r="G223" t="s">
        <v>62</v>
      </c>
      <c r="H223">
        <v>454</v>
      </c>
      <c r="I223" t="s">
        <v>38</v>
      </c>
      <c r="J223" t="s">
        <v>18</v>
      </c>
      <c r="K223">
        <v>96</v>
      </c>
      <c r="L223">
        <v>15</v>
      </c>
      <c r="M223">
        <v>1440</v>
      </c>
      <c r="N223" t="s">
        <v>30</v>
      </c>
    </row>
    <row r="224" spans="1:14" x14ac:dyDescent="0.2">
      <c r="A224">
        <v>331</v>
      </c>
      <c r="B224" t="s">
        <v>43</v>
      </c>
      <c r="C224" t="s">
        <v>42</v>
      </c>
      <c r="D224" s="30">
        <v>38927</v>
      </c>
      <c r="E224">
        <v>8088850186</v>
      </c>
      <c r="F224">
        <v>49</v>
      </c>
      <c r="G224" t="s">
        <v>62</v>
      </c>
      <c r="H224">
        <v>454</v>
      </c>
      <c r="I224" t="s">
        <v>38</v>
      </c>
      <c r="J224" t="s">
        <v>18</v>
      </c>
      <c r="K224">
        <v>48</v>
      </c>
      <c r="L224">
        <v>15</v>
      </c>
      <c r="M224">
        <v>720</v>
      </c>
      <c r="N224" t="s">
        <v>30</v>
      </c>
    </row>
    <row r="225" spans="1:14" x14ac:dyDescent="0.2">
      <c r="A225">
        <v>330</v>
      </c>
      <c r="B225" t="s">
        <v>43</v>
      </c>
      <c r="C225" t="s">
        <v>42</v>
      </c>
      <c r="D225" s="30">
        <v>38135</v>
      </c>
      <c r="E225">
        <v>126577112</v>
      </c>
      <c r="F225">
        <v>49</v>
      </c>
      <c r="G225" t="s">
        <v>62</v>
      </c>
      <c r="H225">
        <v>704</v>
      </c>
      <c r="I225" t="s">
        <v>36</v>
      </c>
      <c r="J225" t="s">
        <v>18</v>
      </c>
      <c r="K225">
        <v>71</v>
      </c>
      <c r="L225">
        <v>60</v>
      </c>
      <c r="M225">
        <v>4260</v>
      </c>
      <c r="N225" t="s">
        <v>19</v>
      </c>
    </row>
    <row r="226" spans="1:14" x14ac:dyDescent="0.2">
      <c r="A226">
        <v>329</v>
      </c>
      <c r="B226" t="s">
        <v>43</v>
      </c>
      <c r="C226" t="s">
        <v>42</v>
      </c>
      <c r="D226" s="30">
        <v>38126</v>
      </c>
      <c r="E226">
        <v>5224952996</v>
      </c>
      <c r="F226">
        <v>49</v>
      </c>
      <c r="G226" t="s">
        <v>62</v>
      </c>
      <c r="H226">
        <v>454</v>
      </c>
      <c r="I226" t="s">
        <v>38</v>
      </c>
      <c r="J226" t="s">
        <v>18</v>
      </c>
      <c r="K226">
        <v>97</v>
      </c>
      <c r="L226">
        <v>15</v>
      </c>
      <c r="M226">
        <v>1455</v>
      </c>
      <c r="N226" t="s">
        <v>30</v>
      </c>
    </row>
    <row r="227" spans="1:14" x14ac:dyDescent="0.2">
      <c r="A227">
        <v>328</v>
      </c>
      <c r="B227" t="s">
        <v>43</v>
      </c>
      <c r="C227" t="s">
        <v>42</v>
      </c>
      <c r="D227" s="30">
        <v>38000</v>
      </c>
      <c r="E227">
        <v>8088850186</v>
      </c>
      <c r="F227">
        <v>49</v>
      </c>
      <c r="G227" t="s">
        <v>62</v>
      </c>
      <c r="H227">
        <v>454</v>
      </c>
      <c r="I227" t="s">
        <v>38</v>
      </c>
      <c r="J227" t="s">
        <v>18</v>
      </c>
      <c r="K227">
        <v>94</v>
      </c>
      <c r="L227">
        <v>15</v>
      </c>
      <c r="M227">
        <v>1410</v>
      </c>
      <c r="N227" t="s">
        <v>30</v>
      </c>
    </row>
    <row r="228" spans="1:14" x14ac:dyDescent="0.2">
      <c r="A228">
        <v>327</v>
      </c>
      <c r="B228" t="s">
        <v>43</v>
      </c>
      <c r="C228" t="s">
        <v>42</v>
      </c>
      <c r="D228" s="30">
        <v>37208</v>
      </c>
      <c r="E228">
        <v>126577112</v>
      </c>
      <c r="F228">
        <v>49</v>
      </c>
      <c r="G228" t="s">
        <v>62</v>
      </c>
      <c r="H228">
        <v>704</v>
      </c>
      <c r="I228" t="s">
        <v>36</v>
      </c>
      <c r="J228" t="s">
        <v>18</v>
      </c>
      <c r="K228">
        <v>93</v>
      </c>
      <c r="L228">
        <v>60</v>
      </c>
      <c r="M228">
        <v>5580</v>
      </c>
      <c r="N228" t="s">
        <v>19</v>
      </c>
    </row>
    <row r="229" spans="1:14" x14ac:dyDescent="0.2">
      <c r="A229">
        <v>326</v>
      </c>
      <c r="B229" t="s">
        <v>43</v>
      </c>
      <c r="C229" t="s">
        <v>42</v>
      </c>
      <c r="D229" s="30">
        <v>37199</v>
      </c>
      <c r="E229">
        <v>5224952996</v>
      </c>
      <c r="F229">
        <v>49</v>
      </c>
      <c r="G229" t="s">
        <v>62</v>
      </c>
      <c r="H229">
        <v>454</v>
      </c>
      <c r="I229" t="s">
        <v>38</v>
      </c>
      <c r="J229" t="s">
        <v>18</v>
      </c>
      <c r="K229">
        <v>28</v>
      </c>
      <c r="L229">
        <v>15</v>
      </c>
      <c r="M229">
        <v>420</v>
      </c>
      <c r="N229" t="s">
        <v>30</v>
      </c>
    </row>
    <row r="230" spans="1:14" x14ac:dyDescent="0.2">
      <c r="A230">
        <v>325</v>
      </c>
      <c r="B230" t="s">
        <v>43</v>
      </c>
      <c r="C230" t="s">
        <v>42</v>
      </c>
      <c r="D230" s="30">
        <v>37073</v>
      </c>
      <c r="E230">
        <v>8088850186</v>
      </c>
      <c r="F230">
        <v>22</v>
      </c>
      <c r="G230" t="s">
        <v>61</v>
      </c>
      <c r="H230">
        <v>454</v>
      </c>
      <c r="I230" t="s">
        <v>38</v>
      </c>
      <c r="J230" t="s">
        <v>18</v>
      </c>
      <c r="K230">
        <v>17</v>
      </c>
      <c r="L230">
        <v>15</v>
      </c>
      <c r="M230">
        <v>255</v>
      </c>
      <c r="N230" t="s">
        <v>30</v>
      </c>
    </row>
    <row r="231" spans="1:14" x14ac:dyDescent="0.2">
      <c r="A231">
        <v>324</v>
      </c>
      <c r="B231" t="s">
        <v>43</v>
      </c>
      <c r="C231" t="s">
        <v>42</v>
      </c>
      <c r="D231" s="30">
        <v>36281</v>
      </c>
      <c r="E231">
        <v>126577112</v>
      </c>
      <c r="F231">
        <v>22</v>
      </c>
      <c r="G231" t="s">
        <v>61</v>
      </c>
      <c r="H231">
        <v>704</v>
      </c>
      <c r="I231" t="s">
        <v>36</v>
      </c>
      <c r="J231" t="s">
        <v>18</v>
      </c>
      <c r="K231">
        <v>84</v>
      </c>
      <c r="L231">
        <v>60</v>
      </c>
      <c r="M231">
        <v>5040</v>
      </c>
      <c r="N231" t="s">
        <v>19</v>
      </c>
    </row>
    <row r="232" spans="1:14" x14ac:dyDescent="0.2">
      <c r="A232">
        <v>323</v>
      </c>
      <c r="B232" t="s">
        <v>43</v>
      </c>
      <c r="C232" t="s">
        <v>42</v>
      </c>
      <c r="D232" s="30">
        <v>36272</v>
      </c>
      <c r="E232">
        <v>5224952996</v>
      </c>
      <c r="F232">
        <v>22</v>
      </c>
      <c r="G232" t="s">
        <v>61</v>
      </c>
      <c r="H232">
        <v>454</v>
      </c>
      <c r="I232" t="s">
        <v>38</v>
      </c>
      <c r="J232" t="s">
        <v>18</v>
      </c>
      <c r="K232">
        <v>52</v>
      </c>
      <c r="L232">
        <v>15</v>
      </c>
      <c r="M232">
        <v>780</v>
      </c>
      <c r="N232" t="s">
        <v>30</v>
      </c>
    </row>
    <row r="233" spans="1:14" x14ac:dyDescent="0.2">
      <c r="A233">
        <v>322</v>
      </c>
      <c r="B233" t="s">
        <v>43</v>
      </c>
      <c r="C233" t="s">
        <v>42</v>
      </c>
      <c r="D233" s="30">
        <v>36146</v>
      </c>
      <c r="E233">
        <v>8088850186</v>
      </c>
      <c r="F233">
        <v>22</v>
      </c>
      <c r="G233" t="s">
        <v>61</v>
      </c>
      <c r="H233">
        <v>454</v>
      </c>
      <c r="I233" t="s">
        <v>38</v>
      </c>
      <c r="J233" t="s">
        <v>18</v>
      </c>
      <c r="K233">
        <v>27</v>
      </c>
      <c r="L233">
        <v>15</v>
      </c>
      <c r="M233">
        <v>405</v>
      </c>
      <c r="N233" t="s">
        <v>30</v>
      </c>
    </row>
    <row r="234" spans="1:14" x14ac:dyDescent="0.2">
      <c r="A234">
        <v>321</v>
      </c>
      <c r="B234" t="s">
        <v>43</v>
      </c>
      <c r="C234" t="s">
        <v>42</v>
      </c>
      <c r="D234" s="30">
        <v>35354</v>
      </c>
      <c r="E234">
        <v>126577112</v>
      </c>
      <c r="F234">
        <v>22</v>
      </c>
      <c r="G234" t="s">
        <v>61</v>
      </c>
      <c r="H234">
        <v>704</v>
      </c>
      <c r="I234" t="s">
        <v>36</v>
      </c>
      <c r="J234" t="s">
        <v>18</v>
      </c>
      <c r="K234">
        <v>64</v>
      </c>
      <c r="L234">
        <v>60</v>
      </c>
      <c r="M234">
        <v>3840</v>
      </c>
      <c r="N234" t="s">
        <v>19</v>
      </c>
    </row>
    <row r="235" spans="1:14" x14ac:dyDescent="0.2">
      <c r="A235">
        <v>320</v>
      </c>
      <c r="B235" t="s">
        <v>43</v>
      </c>
      <c r="C235" t="s">
        <v>42</v>
      </c>
      <c r="D235" s="30">
        <v>35345</v>
      </c>
      <c r="E235">
        <v>5224952996</v>
      </c>
      <c r="F235">
        <v>22</v>
      </c>
      <c r="G235" t="s">
        <v>61</v>
      </c>
      <c r="H235">
        <v>454</v>
      </c>
      <c r="I235" t="s">
        <v>38</v>
      </c>
      <c r="J235" t="s">
        <v>18</v>
      </c>
      <c r="K235">
        <v>82</v>
      </c>
      <c r="L235">
        <v>15</v>
      </c>
      <c r="M235">
        <v>1230</v>
      </c>
      <c r="N235" t="s">
        <v>30</v>
      </c>
    </row>
    <row r="236" spans="1:14" x14ac:dyDescent="0.2">
      <c r="A236">
        <v>319</v>
      </c>
      <c r="B236" t="s">
        <v>43</v>
      </c>
      <c r="C236" t="s">
        <v>42</v>
      </c>
      <c r="D236" s="30">
        <v>35219</v>
      </c>
      <c r="E236">
        <v>8088850186</v>
      </c>
      <c r="F236">
        <v>22</v>
      </c>
      <c r="G236" t="s">
        <v>61</v>
      </c>
      <c r="H236">
        <v>454</v>
      </c>
      <c r="I236" t="s">
        <v>38</v>
      </c>
      <c r="J236" t="s">
        <v>18</v>
      </c>
      <c r="K236">
        <v>60</v>
      </c>
      <c r="L236">
        <v>15</v>
      </c>
      <c r="M236">
        <v>900</v>
      </c>
      <c r="N236" t="s">
        <v>30</v>
      </c>
    </row>
    <row r="237" spans="1:14" x14ac:dyDescent="0.2">
      <c r="A237">
        <v>318</v>
      </c>
      <c r="B237" t="s">
        <v>41</v>
      </c>
      <c r="C237" t="s">
        <v>42</v>
      </c>
      <c r="D237" s="30">
        <v>40205</v>
      </c>
      <c r="E237">
        <v>601099509</v>
      </c>
      <c r="F237">
        <v>22</v>
      </c>
      <c r="G237" t="s">
        <v>61</v>
      </c>
      <c r="H237">
        <v>521</v>
      </c>
      <c r="I237" t="s">
        <v>22</v>
      </c>
      <c r="J237" t="s">
        <v>23</v>
      </c>
      <c r="K237">
        <v>10</v>
      </c>
      <c r="L237">
        <v>30</v>
      </c>
      <c r="M237">
        <v>300</v>
      </c>
      <c r="N237" t="s">
        <v>19</v>
      </c>
    </row>
    <row r="238" spans="1:14" x14ac:dyDescent="0.2">
      <c r="A238">
        <v>317</v>
      </c>
      <c r="B238" t="s">
        <v>41</v>
      </c>
      <c r="C238" t="s">
        <v>42</v>
      </c>
      <c r="D238" s="30">
        <v>39278</v>
      </c>
      <c r="E238">
        <v>601099509</v>
      </c>
      <c r="F238">
        <v>22</v>
      </c>
      <c r="G238" t="s">
        <v>61</v>
      </c>
      <c r="H238">
        <v>521</v>
      </c>
      <c r="I238" t="s">
        <v>22</v>
      </c>
      <c r="J238" t="s">
        <v>23</v>
      </c>
      <c r="K238">
        <v>96</v>
      </c>
      <c r="L238">
        <v>30</v>
      </c>
      <c r="M238">
        <v>2880</v>
      </c>
      <c r="N238" t="s">
        <v>19</v>
      </c>
    </row>
    <row r="239" spans="1:14" x14ac:dyDescent="0.2">
      <c r="A239">
        <v>316</v>
      </c>
      <c r="B239" t="s">
        <v>41</v>
      </c>
      <c r="C239" t="s">
        <v>42</v>
      </c>
      <c r="D239" s="30">
        <v>38351</v>
      </c>
      <c r="E239">
        <v>601099509</v>
      </c>
      <c r="F239">
        <v>22</v>
      </c>
      <c r="G239" t="s">
        <v>61</v>
      </c>
      <c r="H239">
        <v>521</v>
      </c>
      <c r="I239" t="s">
        <v>22</v>
      </c>
      <c r="J239" t="s">
        <v>23</v>
      </c>
      <c r="K239">
        <v>89</v>
      </c>
      <c r="L239">
        <v>30</v>
      </c>
      <c r="M239">
        <v>2670</v>
      </c>
      <c r="N239" t="s">
        <v>19</v>
      </c>
    </row>
    <row r="240" spans="1:14" x14ac:dyDescent="0.2">
      <c r="A240">
        <v>315</v>
      </c>
      <c r="B240" t="s">
        <v>41</v>
      </c>
      <c r="C240" t="s">
        <v>42</v>
      </c>
      <c r="D240" s="30">
        <v>37424</v>
      </c>
      <c r="E240">
        <v>601099509</v>
      </c>
      <c r="F240">
        <v>22</v>
      </c>
      <c r="G240" t="s">
        <v>61</v>
      </c>
      <c r="H240">
        <v>521</v>
      </c>
      <c r="I240" t="s">
        <v>22</v>
      </c>
      <c r="J240" t="s">
        <v>23</v>
      </c>
      <c r="K240">
        <v>66</v>
      </c>
      <c r="L240">
        <v>30</v>
      </c>
      <c r="M240">
        <v>1980</v>
      </c>
      <c r="N240" t="s">
        <v>19</v>
      </c>
    </row>
    <row r="241" spans="1:14" x14ac:dyDescent="0.2">
      <c r="A241">
        <v>314</v>
      </c>
      <c r="B241" t="s">
        <v>41</v>
      </c>
      <c r="C241" t="s">
        <v>42</v>
      </c>
      <c r="D241" s="30">
        <v>36497</v>
      </c>
      <c r="E241">
        <v>601099509</v>
      </c>
      <c r="F241">
        <v>22</v>
      </c>
      <c r="G241" t="s">
        <v>61</v>
      </c>
      <c r="H241">
        <v>521</v>
      </c>
      <c r="I241" t="s">
        <v>22</v>
      </c>
      <c r="J241" t="s">
        <v>23</v>
      </c>
      <c r="K241">
        <v>36</v>
      </c>
      <c r="L241">
        <v>30</v>
      </c>
      <c r="M241">
        <v>1080</v>
      </c>
      <c r="N241" t="s">
        <v>19</v>
      </c>
    </row>
    <row r="242" spans="1:14" x14ac:dyDescent="0.2">
      <c r="A242">
        <v>313</v>
      </c>
      <c r="B242" t="s">
        <v>41</v>
      </c>
      <c r="C242" t="s">
        <v>42</v>
      </c>
      <c r="D242" s="30">
        <v>35570</v>
      </c>
      <c r="E242">
        <v>601099509</v>
      </c>
      <c r="F242">
        <v>22</v>
      </c>
      <c r="G242" t="s">
        <v>61</v>
      </c>
      <c r="H242">
        <v>521</v>
      </c>
      <c r="I242" t="s">
        <v>22</v>
      </c>
      <c r="J242" t="s">
        <v>23</v>
      </c>
      <c r="K242">
        <v>58</v>
      </c>
      <c r="L242">
        <v>30</v>
      </c>
      <c r="M242">
        <v>1740</v>
      </c>
      <c r="N242" t="s">
        <v>19</v>
      </c>
    </row>
    <row r="243" spans="1:14" x14ac:dyDescent="0.2">
      <c r="A243">
        <v>312</v>
      </c>
      <c r="B243" t="s">
        <v>52</v>
      </c>
      <c r="C243" t="s">
        <v>42</v>
      </c>
      <c r="D243" s="30">
        <v>39557</v>
      </c>
      <c r="E243">
        <v>5510966038</v>
      </c>
      <c r="F243">
        <v>15</v>
      </c>
      <c r="G243" t="s">
        <v>58</v>
      </c>
      <c r="H243">
        <v>548</v>
      </c>
      <c r="I243" t="s">
        <v>24</v>
      </c>
      <c r="J243" t="s">
        <v>18</v>
      </c>
      <c r="K243">
        <v>93</v>
      </c>
      <c r="L243">
        <v>90</v>
      </c>
      <c r="M243">
        <v>8370</v>
      </c>
      <c r="N243" t="s">
        <v>25</v>
      </c>
    </row>
    <row r="244" spans="1:14" x14ac:dyDescent="0.2">
      <c r="A244">
        <v>311</v>
      </c>
      <c r="B244" t="s">
        <v>52</v>
      </c>
      <c r="C244" t="s">
        <v>42</v>
      </c>
      <c r="D244" s="30">
        <v>39548</v>
      </c>
      <c r="E244">
        <v>5074446054</v>
      </c>
      <c r="F244">
        <v>15</v>
      </c>
      <c r="G244" t="s">
        <v>58</v>
      </c>
      <c r="H244">
        <v>521</v>
      </c>
      <c r="I244" t="s">
        <v>22</v>
      </c>
      <c r="J244" t="s">
        <v>23</v>
      </c>
      <c r="K244">
        <v>41</v>
      </c>
      <c r="L244">
        <v>30</v>
      </c>
      <c r="M244">
        <v>1230</v>
      </c>
      <c r="N244" t="s">
        <v>30</v>
      </c>
    </row>
    <row r="245" spans="1:14" x14ac:dyDescent="0.2">
      <c r="A245">
        <v>310</v>
      </c>
      <c r="B245" t="s">
        <v>52</v>
      </c>
      <c r="C245" t="s">
        <v>42</v>
      </c>
      <c r="D245" s="30">
        <v>39539</v>
      </c>
      <c r="E245">
        <v>8828315322</v>
      </c>
      <c r="F245">
        <v>15</v>
      </c>
      <c r="G245" t="s">
        <v>58</v>
      </c>
      <c r="H245">
        <v>454</v>
      </c>
      <c r="I245" t="s">
        <v>38</v>
      </c>
      <c r="J245" t="s">
        <v>18</v>
      </c>
      <c r="K245">
        <v>23</v>
      </c>
      <c r="L245">
        <v>15</v>
      </c>
      <c r="M245">
        <v>345</v>
      </c>
      <c r="N245" t="s">
        <v>25</v>
      </c>
    </row>
    <row r="246" spans="1:14" x14ac:dyDescent="0.2">
      <c r="A246">
        <v>309</v>
      </c>
      <c r="B246" t="s">
        <v>52</v>
      </c>
      <c r="C246" t="s">
        <v>42</v>
      </c>
      <c r="D246" s="30">
        <v>39494</v>
      </c>
      <c r="E246">
        <v>9434267034</v>
      </c>
      <c r="F246">
        <v>15</v>
      </c>
      <c r="G246" t="s">
        <v>58</v>
      </c>
      <c r="H246">
        <v>534</v>
      </c>
      <c r="I246" t="s">
        <v>17</v>
      </c>
      <c r="J246" t="s">
        <v>18</v>
      </c>
      <c r="K246">
        <v>43</v>
      </c>
      <c r="L246">
        <v>25</v>
      </c>
      <c r="M246">
        <v>1075</v>
      </c>
      <c r="N246" t="s">
        <v>30</v>
      </c>
    </row>
    <row r="247" spans="1:14" x14ac:dyDescent="0.2">
      <c r="A247">
        <v>308</v>
      </c>
      <c r="B247" t="s">
        <v>52</v>
      </c>
      <c r="C247" t="s">
        <v>42</v>
      </c>
      <c r="D247" s="30">
        <v>39467</v>
      </c>
      <c r="E247">
        <v>8600395106</v>
      </c>
      <c r="F247">
        <v>47</v>
      </c>
      <c r="G247" t="s">
        <v>60</v>
      </c>
      <c r="H247">
        <v>909</v>
      </c>
      <c r="I247" t="s">
        <v>24</v>
      </c>
      <c r="J247" t="s">
        <v>18</v>
      </c>
      <c r="K247">
        <v>57</v>
      </c>
      <c r="L247">
        <v>50</v>
      </c>
      <c r="M247">
        <v>2850</v>
      </c>
      <c r="N247" t="s">
        <v>19</v>
      </c>
    </row>
    <row r="248" spans="1:14" x14ac:dyDescent="0.2">
      <c r="A248">
        <v>307</v>
      </c>
      <c r="B248" t="s">
        <v>52</v>
      </c>
      <c r="C248" t="s">
        <v>42</v>
      </c>
      <c r="D248" s="30">
        <v>38630</v>
      </c>
      <c r="E248">
        <v>5510966038</v>
      </c>
      <c r="F248">
        <v>47</v>
      </c>
      <c r="G248" t="s">
        <v>60</v>
      </c>
      <c r="H248">
        <v>548</v>
      </c>
      <c r="I248" t="s">
        <v>24</v>
      </c>
      <c r="J248" t="s">
        <v>18</v>
      </c>
      <c r="K248">
        <v>22</v>
      </c>
      <c r="L248">
        <v>90</v>
      </c>
      <c r="M248">
        <v>1980</v>
      </c>
      <c r="N248" t="s">
        <v>25</v>
      </c>
    </row>
    <row r="249" spans="1:14" x14ac:dyDescent="0.2">
      <c r="A249">
        <v>306</v>
      </c>
      <c r="B249" t="s">
        <v>52</v>
      </c>
      <c r="C249" t="s">
        <v>42</v>
      </c>
      <c r="D249" s="30">
        <v>38621</v>
      </c>
      <c r="E249">
        <v>5074446054</v>
      </c>
      <c r="F249">
        <v>47</v>
      </c>
      <c r="G249" t="s">
        <v>60</v>
      </c>
      <c r="H249">
        <v>521</v>
      </c>
      <c r="I249" t="s">
        <v>22</v>
      </c>
      <c r="J249" t="s">
        <v>23</v>
      </c>
      <c r="K249">
        <v>34</v>
      </c>
      <c r="L249">
        <v>30</v>
      </c>
      <c r="M249">
        <v>1020</v>
      </c>
      <c r="N249" t="s">
        <v>30</v>
      </c>
    </row>
    <row r="250" spans="1:14" x14ac:dyDescent="0.2">
      <c r="A250">
        <v>305</v>
      </c>
      <c r="B250" t="s">
        <v>52</v>
      </c>
      <c r="C250" t="s">
        <v>42</v>
      </c>
      <c r="D250" s="30">
        <v>38612</v>
      </c>
      <c r="E250">
        <v>8828315322</v>
      </c>
      <c r="F250">
        <v>47</v>
      </c>
      <c r="G250" t="s">
        <v>60</v>
      </c>
      <c r="H250">
        <v>454</v>
      </c>
      <c r="I250" t="s">
        <v>38</v>
      </c>
      <c r="J250" t="s">
        <v>18</v>
      </c>
      <c r="K250">
        <v>10</v>
      </c>
      <c r="L250">
        <v>15</v>
      </c>
      <c r="M250">
        <v>150</v>
      </c>
      <c r="N250" t="s">
        <v>25</v>
      </c>
    </row>
    <row r="251" spans="1:14" x14ac:dyDescent="0.2">
      <c r="A251">
        <v>304</v>
      </c>
      <c r="B251" t="s">
        <v>52</v>
      </c>
      <c r="C251" t="s">
        <v>42</v>
      </c>
      <c r="D251" s="30">
        <v>38567</v>
      </c>
      <c r="E251">
        <v>9434267034</v>
      </c>
      <c r="F251">
        <v>47</v>
      </c>
      <c r="G251" t="s">
        <v>60</v>
      </c>
      <c r="H251">
        <v>534</v>
      </c>
      <c r="I251" t="s">
        <v>17</v>
      </c>
      <c r="J251" t="s">
        <v>18</v>
      </c>
      <c r="K251">
        <v>34</v>
      </c>
      <c r="L251">
        <v>25</v>
      </c>
      <c r="M251">
        <v>850</v>
      </c>
      <c r="N251" t="s">
        <v>30</v>
      </c>
    </row>
    <row r="252" spans="1:14" x14ac:dyDescent="0.2">
      <c r="A252">
        <v>303</v>
      </c>
      <c r="B252" t="s">
        <v>52</v>
      </c>
      <c r="C252" t="s">
        <v>42</v>
      </c>
      <c r="D252" s="30">
        <v>38540</v>
      </c>
      <c r="E252">
        <v>8600395106</v>
      </c>
      <c r="F252">
        <v>47</v>
      </c>
      <c r="G252" t="s">
        <v>60</v>
      </c>
      <c r="H252">
        <v>909</v>
      </c>
      <c r="I252" t="s">
        <v>24</v>
      </c>
      <c r="J252" t="s">
        <v>18</v>
      </c>
      <c r="K252">
        <v>65</v>
      </c>
      <c r="L252">
        <v>50</v>
      </c>
      <c r="M252">
        <v>3250</v>
      </c>
      <c r="N252" t="s">
        <v>19</v>
      </c>
    </row>
    <row r="253" spans="1:14" x14ac:dyDescent="0.2">
      <c r="A253">
        <v>302</v>
      </c>
      <c r="B253" t="s">
        <v>52</v>
      </c>
      <c r="C253" t="s">
        <v>42</v>
      </c>
      <c r="D253" s="30">
        <v>37703</v>
      </c>
      <c r="E253">
        <v>5510966038</v>
      </c>
      <c r="F253">
        <v>47</v>
      </c>
      <c r="G253" t="s">
        <v>60</v>
      </c>
      <c r="H253">
        <v>548</v>
      </c>
      <c r="I253" t="s">
        <v>24</v>
      </c>
      <c r="J253" t="s">
        <v>18</v>
      </c>
      <c r="K253">
        <v>44</v>
      </c>
      <c r="L253">
        <v>90</v>
      </c>
      <c r="M253">
        <v>3960</v>
      </c>
      <c r="N253" t="s">
        <v>25</v>
      </c>
    </row>
    <row r="254" spans="1:14" x14ac:dyDescent="0.2">
      <c r="A254">
        <v>253</v>
      </c>
      <c r="B254" t="s">
        <v>43</v>
      </c>
      <c r="C254" t="s">
        <v>42</v>
      </c>
      <c r="D254" s="30">
        <v>35165</v>
      </c>
      <c r="E254">
        <v>598769341</v>
      </c>
      <c r="F254">
        <v>30</v>
      </c>
      <c r="G254" t="s">
        <v>57</v>
      </c>
      <c r="H254">
        <v>793</v>
      </c>
      <c r="I254" t="s">
        <v>17</v>
      </c>
      <c r="J254" t="s">
        <v>18</v>
      </c>
      <c r="K254">
        <v>31</v>
      </c>
      <c r="L254">
        <v>35</v>
      </c>
      <c r="M254">
        <v>1085</v>
      </c>
      <c r="N254" t="s">
        <v>19</v>
      </c>
    </row>
    <row r="255" spans="1:14" x14ac:dyDescent="0.2">
      <c r="A255">
        <v>254</v>
      </c>
      <c r="B255" t="s">
        <v>43</v>
      </c>
      <c r="C255" t="s">
        <v>42</v>
      </c>
      <c r="D255" s="30">
        <v>35237</v>
      </c>
      <c r="E255">
        <v>6415166145</v>
      </c>
      <c r="F255">
        <v>30</v>
      </c>
      <c r="G255" t="s">
        <v>57</v>
      </c>
      <c r="H255">
        <v>568</v>
      </c>
      <c r="I255" t="s">
        <v>28</v>
      </c>
      <c r="J255" t="s">
        <v>29</v>
      </c>
      <c r="K255">
        <v>76</v>
      </c>
      <c r="L255">
        <v>1</v>
      </c>
      <c r="M255">
        <v>76</v>
      </c>
      <c r="N255" t="s">
        <v>19</v>
      </c>
    </row>
    <row r="256" spans="1:14" x14ac:dyDescent="0.2">
      <c r="A256">
        <v>255</v>
      </c>
      <c r="B256" t="s">
        <v>43</v>
      </c>
      <c r="C256" t="s">
        <v>42</v>
      </c>
      <c r="D256" s="30">
        <v>35264</v>
      </c>
      <c r="E256">
        <v>8120732751</v>
      </c>
      <c r="F256">
        <v>30</v>
      </c>
      <c r="G256" t="s">
        <v>57</v>
      </c>
      <c r="H256">
        <v>534</v>
      </c>
      <c r="I256" t="s">
        <v>17</v>
      </c>
      <c r="J256" t="s">
        <v>18</v>
      </c>
      <c r="K256">
        <v>40</v>
      </c>
      <c r="L256">
        <v>25</v>
      </c>
      <c r="M256">
        <v>1000</v>
      </c>
      <c r="N256" t="s">
        <v>30</v>
      </c>
    </row>
    <row r="257" spans="1:14" x14ac:dyDescent="0.2">
      <c r="A257">
        <v>256</v>
      </c>
      <c r="B257" t="s">
        <v>43</v>
      </c>
      <c r="C257" t="s">
        <v>42</v>
      </c>
      <c r="D257" s="30">
        <v>36092</v>
      </c>
      <c r="E257">
        <v>598769341</v>
      </c>
      <c r="F257">
        <v>30</v>
      </c>
      <c r="G257" t="s">
        <v>57</v>
      </c>
      <c r="H257">
        <v>793</v>
      </c>
      <c r="I257" t="s">
        <v>17</v>
      </c>
      <c r="J257" t="s">
        <v>18</v>
      </c>
      <c r="K257">
        <v>97</v>
      </c>
      <c r="L257">
        <v>35</v>
      </c>
      <c r="M257">
        <v>3395</v>
      </c>
      <c r="N257" t="s">
        <v>19</v>
      </c>
    </row>
    <row r="258" spans="1:14" x14ac:dyDescent="0.2">
      <c r="A258">
        <v>257</v>
      </c>
      <c r="B258" t="s">
        <v>43</v>
      </c>
      <c r="C258" t="s">
        <v>42</v>
      </c>
      <c r="D258" s="30">
        <v>36164</v>
      </c>
      <c r="E258">
        <v>6415166145</v>
      </c>
      <c r="F258">
        <v>30</v>
      </c>
      <c r="G258" t="s">
        <v>57</v>
      </c>
      <c r="H258">
        <v>568</v>
      </c>
      <c r="I258" t="s">
        <v>28</v>
      </c>
      <c r="J258" t="s">
        <v>29</v>
      </c>
      <c r="K258">
        <v>23</v>
      </c>
      <c r="L258">
        <v>1</v>
      </c>
      <c r="M258">
        <v>23</v>
      </c>
      <c r="N258" t="s">
        <v>19</v>
      </c>
    </row>
    <row r="259" spans="1:14" x14ac:dyDescent="0.2">
      <c r="A259">
        <v>258</v>
      </c>
      <c r="B259" t="s">
        <v>43</v>
      </c>
      <c r="C259" t="s">
        <v>42</v>
      </c>
      <c r="D259" s="30">
        <v>36191</v>
      </c>
      <c r="E259">
        <v>8120732751</v>
      </c>
      <c r="F259">
        <v>30</v>
      </c>
      <c r="G259" t="s">
        <v>57</v>
      </c>
      <c r="H259">
        <v>534</v>
      </c>
      <c r="I259" t="s">
        <v>17</v>
      </c>
      <c r="J259" t="s">
        <v>18</v>
      </c>
      <c r="K259">
        <v>61</v>
      </c>
      <c r="L259">
        <v>25</v>
      </c>
      <c r="M259">
        <v>1525</v>
      </c>
      <c r="N259" t="s">
        <v>30</v>
      </c>
    </row>
    <row r="260" spans="1:14" x14ac:dyDescent="0.2">
      <c r="A260">
        <v>259</v>
      </c>
      <c r="B260" t="s">
        <v>43</v>
      </c>
      <c r="C260" t="s">
        <v>42</v>
      </c>
      <c r="D260" s="30">
        <v>37019</v>
      </c>
      <c r="E260">
        <v>598769341</v>
      </c>
      <c r="F260">
        <v>30</v>
      </c>
      <c r="G260" t="s">
        <v>57</v>
      </c>
      <c r="H260">
        <v>793</v>
      </c>
      <c r="I260" t="s">
        <v>17</v>
      </c>
      <c r="J260" t="s">
        <v>18</v>
      </c>
      <c r="K260">
        <v>94</v>
      </c>
      <c r="L260">
        <v>35</v>
      </c>
      <c r="M260">
        <v>3290</v>
      </c>
      <c r="N260" t="s">
        <v>19</v>
      </c>
    </row>
    <row r="261" spans="1:14" x14ac:dyDescent="0.2">
      <c r="A261">
        <v>260</v>
      </c>
      <c r="B261" t="s">
        <v>43</v>
      </c>
      <c r="C261" t="s">
        <v>42</v>
      </c>
      <c r="D261" s="30">
        <v>37091</v>
      </c>
      <c r="E261">
        <v>6415166145</v>
      </c>
      <c r="F261">
        <v>30</v>
      </c>
      <c r="G261" t="s">
        <v>57</v>
      </c>
      <c r="H261">
        <v>568</v>
      </c>
      <c r="I261" t="s">
        <v>28</v>
      </c>
      <c r="J261" t="s">
        <v>29</v>
      </c>
      <c r="K261">
        <v>35</v>
      </c>
      <c r="L261">
        <v>1</v>
      </c>
      <c r="M261">
        <v>35</v>
      </c>
      <c r="N261" t="s">
        <v>19</v>
      </c>
    </row>
    <row r="262" spans="1:14" x14ac:dyDescent="0.2">
      <c r="A262">
        <v>261</v>
      </c>
      <c r="B262" t="s">
        <v>43</v>
      </c>
      <c r="C262" t="s">
        <v>42</v>
      </c>
      <c r="D262" s="30">
        <v>37118</v>
      </c>
      <c r="E262">
        <v>8120732751</v>
      </c>
      <c r="F262">
        <v>30</v>
      </c>
      <c r="G262" t="s">
        <v>57</v>
      </c>
      <c r="H262">
        <v>534</v>
      </c>
      <c r="I262" t="s">
        <v>17</v>
      </c>
      <c r="J262" t="s">
        <v>18</v>
      </c>
      <c r="K262">
        <v>17</v>
      </c>
      <c r="L262">
        <v>25</v>
      </c>
      <c r="M262">
        <v>425</v>
      </c>
      <c r="N262" t="s">
        <v>30</v>
      </c>
    </row>
    <row r="263" spans="1:14" x14ac:dyDescent="0.2">
      <c r="A263">
        <v>262</v>
      </c>
      <c r="B263" t="s">
        <v>43</v>
      </c>
      <c r="C263" t="s">
        <v>42</v>
      </c>
      <c r="D263" s="30">
        <v>37946</v>
      </c>
      <c r="E263">
        <v>598769341</v>
      </c>
      <c r="F263">
        <v>30</v>
      </c>
      <c r="G263" t="s">
        <v>57</v>
      </c>
      <c r="H263">
        <v>793</v>
      </c>
      <c r="I263" t="s">
        <v>17</v>
      </c>
      <c r="J263" t="s">
        <v>18</v>
      </c>
      <c r="K263">
        <v>40</v>
      </c>
      <c r="L263">
        <v>35</v>
      </c>
      <c r="M263">
        <v>1400</v>
      </c>
      <c r="N263" t="s">
        <v>19</v>
      </c>
    </row>
    <row r="264" spans="1:14" x14ac:dyDescent="0.2">
      <c r="A264">
        <v>263</v>
      </c>
      <c r="B264" t="s">
        <v>43</v>
      </c>
      <c r="C264" t="s">
        <v>42</v>
      </c>
      <c r="D264" s="30">
        <v>38018</v>
      </c>
      <c r="E264">
        <v>6415166145</v>
      </c>
      <c r="F264">
        <v>30</v>
      </c>
      <c r="G264" t="s">
        <v>57</v>
      </c>
      <c r="H264">
        <v>568</v>
      </c>
      <c r="I264" t="s">
        <v>28</v>
      </c>
      <c r="J264" t="s">
        <v>29</v>
      </c>
      <c r="K264">
        <v>55</v>
      </c>
      <c r="L264">
        <v>1</v>
      </c>
      <c r="M264">
        <v>55</v>
      </c>
      <c r="N264" t="s">
        <v>19</v>
      </c>
    </row>
    <row r="265" spans="1:14" x14ac:dyDescent="0.2">
      <c r="A265">
        <v>264</v>
      </c>
      <c r="B265" t="s">
        <v>43</v>
      </c>
      <c r="C265" t="s">
        <v>42</v>
      </c>
      <c r="D265" s="30">
        <v>38045</v>
      </c>
      <c r="E265">
        <v>8120732751</v>
      </c>
      <c r="F265">
        <v>30</v>
      </c>
      <c r="G265" t="s">
        <v>57</v>
      </c>
      <c r="H265">
        <v>534</v>
      </c>
      <c r="I265" t="s">
        <v>17</v>
      </c>
      <c r="J265" t="s">
        <v>18</v>
      </c>
      <c r="K265">
        <v>34</v>
      </c>
      <c r="L265">
        <v>25</v>
      </c>
      <c r="M265">
        <v>850</v>
      </c>
      <c r="N265" t="s">
        <v>30</v>
      </c>
    </row>
    <row r="266" spans="1:14" x14ac:dyDescent="0.2">
      <c r="A266">
        <v>265</v>
      </c>
      <c r="B266" t="s">
        <v>43</v>
      </c>
      <c r="C266" t="s">
        <v>42</v>
      </c>
      <c r="D266" s="30">
        <v>38873</v>
      </c>
      <c r="E266">
        <v>598769341</v>
      </c>
      <c r="F266">
        <v>30</v>
      </c>
      <c r="G266" t="s">
        <v>57</v>
      </c>
      <c r="H266">
        <v>793</v>
      </c>
      <c r="I266" t="s">
        <v>17</v>
      </c>
      <c r="J266" t="s">
        <v>18</v>
      </c>
      <c r="K266">
        <v>79</v>
      </c>
      <c r="L266">
        <v>35</v>
      </c>
      <c r="M266">
        <v>2765</v>
      </c>
      <c r="N266" t="s">
        <v>19</v>
      </c>
    </row>
    <row r="267" spans="1:14" x14ac:dyDescent="0.2">
      <c r="A267">
        <v>266</v>
      </c>
      <c r="B267" t="s">
        <v>43</v>
      </c>
      <c r="C267" t="s">
        <v>42</v>
      </c>
      <c r="D267" s="30">
        <v>38945</v>
      </c>
      <c r="E267">
        <v>6415166145</v>
      </c>
      <c r="F267">
        <v>30</v>
      </c>
      <c r="G267" t="s">
        <v>57</v>
      </c>
      <c r="H267">
        <v>568</v>
      </c>
      <c r="I267" t="s">
        <v>28</v>
      </c>
      <c r="J267" t="s">
        <v>29</v>
      </c>
      <c r="K267">
        <v>50</v>
      </c>
      <c r="L267">
        <v>1</v>
      </c>
      <c r="M267">
        <v>50</v>
      </c>
      <c r="N267" t="s">
        <v>19</v>
      </c>
    </row>
    <row r="268" spans="1:14" x14ac:dyDescent="0.2">
      <c r="A268">
        <v>267</v>
      </c>
      <c r="B268" t="s">
        <v>43</v>
      </c>
      <c r="C268" t="s">
        <v>42</v>
      </c>
      <c r="D268" s="30">
        <v>38972</v>
      </c>
      <c r="E268">
        <v>8120732751</v>
      </c>
      <c r="F268">
        <v>30</v>
      </c>
      <c r="G268" t="s">
        <v>57</v>
      </c>
      <c r="H268">
        <v>534</v>
      </c>
      <c r="I268" t="s">
        <v>17</v>
      </c>
      <c r="J268" t="s">
        <v>18</v>
      </c>
      <c r="K268">
        <v>60</v>
      </c>
      <c r="L268">
        <v>25</v>
      </c>
      <c r="M268">
        <v>1500</v>
      </c>
      <c r="N268" t="s">
        <v>30</v>
      </c>
    </row>
    <row r="269" spans="1:14" x14ac:dyDescent="0.2">
      <c r="A269">
        <v>268</v>
      </c>
      <c r="B269" t="s">
        <v>43</v>
      </c>
      <c r="C269" t="s">
        <v>42</v>
      </c>
      <c r="D269" s="30">
        <v>39800</v>
      </c>
      <c r="E269">
        <v>598769341</v>
      </c>
      <c r="F269">
        <v>30</v>
      </c>
      <c r="G269" t="s">
        <v>57</v>
      </c>
      <c r="H269">
        <v>793</v>
      </c>
      <c r="I269" t="s">
        <v>17</v>
      </c>
      <c r="J269" t="s">
        <v>18</v>
      </c>
      <c r="K269">
        <v>28</v>
      </c>
      <c r="L269">
        <v>35</v>
      </c>
      <c r="M269">
        <v>980</v>
      </c>
      <c r="N269" t="s">
        <v>19</v>
      </c>
    </row>
    <row r="270" spans="1:14" x14ac:dyDescent="0.2">
      <c r="A270">
        <v>269</v>
      </c>
      <c r="B270" t="s">
        <v>43</v>
      </c>
      <c r="C270" t="s">
        <v>42</v>
      </c>
      <c r="D270" s="30">
        <v>39872</v>
      </c>
      <c r="E270">
        <v>6415166145</v>
      </c>
      <c r="F270">
        <v>30</v>
      </c>
      <c r="G270" t="s">
        <v>57</v>
      </c>
      <c r="H270">
        <v>568</v>
      </c>
      <c r="I270" t="s">
        <v>28</v>
      </c>
      <c r="J270" t="s">
        <v>29</v>
      </c>
      <c r="K270">
        <v>98</v>
      </c>
      <c r="L270">
        <v>1</v>
      </c>
      <c r="M270">
        <v>98</v>
      </c>
      <c r="N270" t="s">
        <v>19</v>
      </c>
    </row>
    <row r="271" spans="1:14" x14ac:dyDescent="0.2">
      <c r="A271">
        <v>270</v>
      </c>
      <c r="B271" t="s">
        <v>43</v>
      </c>
      <c r="C271" t="s">
        <v>42</v>
      </c>
      <c r="D271" s="30">
        <v>39899</v>
      </c>
      <c r="E271">
        <v>8120732751</v>
      </c>
      <c r="F271">
        <v>15</v>
      </c>
      <c r="G271" t="s">
        <v>58</v>
      </c>
      <c r="H271">
        <v>534</v>
      </c>
      <c r="I271" t="s">
        <v>17</v>
      </c>
      <c r="J271" t="s">
        <v>18</v>
      </c>
      <c r="K271">
        <v>59</v>
      </c>
      <c r="L271">
        <v>25</v>
      </c>
      <c r="M271">
        <v>1475</v>
      </c>
      <c r="N271" t="s">
        <v>30</v>
      </c>
    </row>
    <row r="272" spans="1:14" x14ac:dyDescent="0.2">
      <c r="A272">
        <v>271</v>
      </c>
      <c r="B272" t="s">
        <v>50</v>
      </c>
      <c r="C272" t="s">
        <v>42</v>
      </c>
      <c r="D272" s="30">
        <v>34976</v>
      </c>
      <c r="E272">
        <v>9342769423</v>
      </c>
      <c r="F272">
        <v>15</v>
      </c>
      <c r="G272" t="s">
        <v>58</v>
      </c>
      <c r="H272">
        <v>521</v>
      </c>
      <c r="I272" t="s">
        <v>22</v>
      </c>
      <c r="J272" t="s">
        <v>23</v>
      </c>
      <c r="K272">
        <v>74</v>
      </c>
      <c r="L272">
        <v>30</v>
      </c>
      <c r="M272">
        <v>2220</v>
      </c>
      <c r="N272" t="s">
        <v>30</v>
      </c>
    </row>
    <row r="273" spans="1:14" x14ac:dyDescent="0.2">
      <c r="A273">
        <v>272</v>
      </c>
      <c r="B273" t="s">
        <v>50</v>
      </c>
      <c r="C273" t="s">
        <v>42</v>
      </c>
      <c r="D273" s="30">
        <v>35903</v>
      </c>
      <c r="E273">
        <v>9342769423</v>
      </c>
      <c r="F273">
        <v>15</v>
      </c>
      <c r="G273" t="s">
        <v>58</v>
      </c>
      <c r="H273">
        <v>521</v>
      </c>
      <c r="I273" t="s">
        <v>22</v>
      </c>
      <c r="J273" t="s">
        <v>23</v>
      </c>
      <c r="K273">
        <v>59</v>
      </c>
      <c r="L273">
        <v>30</v>
      </c>
      <c r="M273">
        <v>1770</v>
      </c>
      <c r="N273" t="s">
        <v>30</v>
      </c>
    </row>
    <row r="274" spans="1:14" x14ac:dyDescent="0.2">
      <c r="A274">
        <v>273</v>
      </c>
      <c r="B274" t="s">
        <v>50</v>
      </c>
      <c r="C274" t="s">
        <v>42</v>
      </c>
      <c r="D274" s="30">
        <v>36830</v>
      </c>
      <c r="E274">
        <v>9342769423</v>
      </c>
      <c r="F274">
        <v>15</v>
      </c>
      <c r="G274" t="s">
        <v>58</v>
      </c>
      <c r="H274">
        <v>521</v>
      </c>
      <c r="I274" t="s">
        <v>22</v>
      </c>
      <c r="J274" t="s">
        <v>23</v>
      </c>
      <c r="K274">
        <v>53</v>
      </c>
      <c r="L274">
        <v>30</v>
      </c>
      <c r="M274">
        <v>1590</v>
      </c>
      <c r="N274" t="s">
        <v>30</v>
      </c>
    </row>
    <row r="275" spans="1:14" x14ac:dyDescent="0.2">
      <c r="A275">
        <v>274</v>
      </c>
      <c r="B275" t="s">
        <v>50</v>
      </c>
      <c r="C275" t="s">
        <v>42</v>
      </c>
      <c r="D275" s="30">
        <v>37757</v>
      </c>
      <c r="E275">
        <v>9342769423</v>
      </c>
      <c r="F275">
        <v>15</v>
      </c>
      <c r="G275" t="s">
        <v>58</v>
      </c>
      <c r="H275">
        <v>521</v>
      </c>
      <c r="I275" t="s">
        <v>22</v>
      </c>
      <c r="J275" t="s">
        <v>23</v>
      </c>
      <c r="K275">
        <v>21</v>
      </c>
      <c r="L275">
        <v>30</v>
      </c>
      <c r="M275">
        <v>630</v>
      </c>
      <c r="N275" t="s">
        <v>30</v>
      </c>
    </row>
    <row r="276" spans="1:14" x14ac:dyDescent="0.2">
      <c r="A276">
        <v>275</v>
      </c>
      <c r="B276" t="s">
        <v>50</v>
      </c>
      <c r="C276" t="s">
        <v>42</v>
      </c>
      <c r="D276" s="30">
        <v>38684</v>
      </c>
      <c r="E276">
        <v>9342769423</v>
      </c>
      <c r="F276">
        <v>15</v>
      </c>
      <c r="G276" t="s">
        <v>58</v>
      </c>
      <c r="H276">
        <v>521</v>
      </c>
      <c r="I276" t="s">
        <v>22</v>
      </c>
      <c r="J276" t="s">
        <v>23</v>
      </c>
      <c r="K276">
        <v>96</v>
      </c>
      <c r="L276">
        <v>30</v>
      </c>
      <c r="M276">
        <v>2880</v>
      </c>
      <c r="N276" t="s">
        <v>30</v>
      </c>
    </row>
    <row r="277" spans="1:14" x14ac:dyDescent="0.2">
      <c r="A277">
        <v>276</v>
      </c>
      <c r="B277" t="s">
        <v>50</v>
      </c>
      <c r="C277" t="s">
        <v>42</v>
      </c>
      <c r="D277" s="30">
        <v>39611</v>
      </c>
      <c r="E277">
        <v>9342769423</v>
      </c>
      <c r="F277">
        <v>15</v>
      </c>
      <c r="G277" t="s">
        <v>58</v>
      </c>
      <c r="H277">
        <v>521</v>
      </c>
      <c r="I277" t="s">
        <v>22</v>
      </c>
      <c r="J277" t="s">
        <v>23</v>
      </c>
      <c r="K277">
        <v>71</v>
      </c>
      <c r="L277">
        <v>30</v>
      </c>
      <c r="M277">
        <v>2130</v>
      </c>
      <c r="N277" t="s">
        <v>30</v>
      </c>
    </row>
    <row r="278" spans="1:14" x14ac:dyDescent="0.2">
      <c r="A278">
        <v>277</v>
      </c>
      <c r="B278" t="s">
        <v>48</v>
      </c>
      <c r="C278" t="s">
        <v>42</v>
      </c>
      <c r="D278" s="30">
        <v>35489</v>
      </c>
      <c r="E278">
        <v>7945701336</v>
      </c>
      <c r="F278">
        <v>15</v>
      </c>
      <c r="G278" t="s">
        <v>58</v>
      </c>
      <c r="H278">
        <v>521</v>
      </c>
      <c r="I278" t="s">
        <v>22</v>
      </c>
      <c r="J278" t="s">
        <v>23</v>
      </c>
      <c r="K278">
        <v>46</v>
      </c>
      <c r="L278">
        <v>30</v>
      </c>
      <c r="M278">
        <v>1380</v>
      </c>
      <c r="N278" t="s">
        <v>19</v>
      </c>
    </row>
    <row r="279" spans="1:14" x14ac:dyDescent="0.2">
      <c r="A279">
        <v>278</v>
      </c>
      <c r="B279" t="s">
        <v>48</v>
      </c>
      <c r="C279" t="s">
        <v>42</v>
      </c>
      <c r="D279" s="30">
        <v>36416</v>
      </c>
      <c r="E279">
        <v>7945701336</v>
      </c>
      <c r="F279">
        <v>15</v>
      </c>
      <c r="G279" t="s">
        <v>58</v>
      </c>
      <c r="H279">
        <v>521</v>
      </c>
      <c r="I279" t="s">
        <v>22</v>
      </c>
      <c r="J279" t="s">
        <v>23</v>
      </c>
      <c r="K279">
        <v>29</v>
      </c>
      <c r="L279">
        <v>30</v>
      </c>
      <c r="M279">
        <v>870</v>
      </c>
      <c r="N279" t="s">
        <v>19</v>
      </c>
    </row>
    <row r="280" spans="1:14" x14ac:dyDescent="0.2">
      <c r="A280">
        <v>279</v>
      </c>
      <c r="B280" t="s">
        <v>48</v>
      </c>
      <c r="C280" t="s">
        <v>42</v>
      </c>
      <c r="D280" s="30">
        <v>37343</v>
      </c>
      <c r="E280">
        <v>7945701336</v>
      </c>
      <c r="F280">
        <v>15</v>
      </c>
      <c r="G280" t="s">
        <v>58</v>
      </c>
      <c r="H280">
        <v>521</v>
      </c>
      <c r="I280" t="s">
        <v>22</v>
      </c>
      <c r="J280" t="s">
        <v>23</v>
      </c>
      <c r="K280">
        <v>79</v>
      </c>
      <c r="L280">
        <v>30</v>
      </c>
      <c r="M280">
        <v>2370</v>
      </c>
      <c r="N280" t="s">
        <v>19</v>
      </c>
    </row>
    <row r="281" spans="1:14" x14ac:dyDescent="0.2">
      <c r="A281">
        <v>280</v>
      </c>
      <c r="B281" t="s">
        <v>48</v>
      </c>
      <c r="C281" t="s">
        <v>42</v>
      </c>
      <c r="D281" s="30">
        <v>38270</v>
      </c>
      <c r="E281">
        <v>7945701336</v>
      </c>
      <c r="F281">
        <v>45</v>
      </c>
      <c r="G281" t="s">
        <v>59</v>
      </c>
      <c r="H281">
        <v>521</v>
      </c>
      <c r="I281" t="s">
        <v>22</v>
      </c>
      <c r="J281" t="s">
        <v>23</v>
      </c>
      <c r="K281">
        <v>89</v>
      </c>
      <c r="L281">
        <v>30</v>
      </c>
      <c r="M281">
        <v>2670</v>
      </c>
      <c r="N281" t="s">
        <v>19</v>
      </c>
    </row>
    <row r="282" spans="1:14" x14ac:dyDescent="0.2">
      <c r="A282">
        <v>281</v>
      </c>
      <c r="B282" t="s">
        <v>48</v>
      </c>
      <c r="C282" t="s">
        <v>42</v>
      </c>
      <c r="D282" s="30">
        <v>39197</v>
      </c>
      <c r="E282">
        <v>7945701336</v>
      </c>
      <c r="F282">
        <v>45</v>
      </c>
      <c r="G282" t="s">
        <v>59</v>
      </c>
      <c r="H282">
        <v>521</v>
      </c>
      <c r="I282" t="s">
        <v>22</v>
      </c>
      <c r="J282" t="s">
        <v>23</v>
      </c>
      <c r="K282">
        <v>51</v>
      </c>
      <c r="L282">
        <v>30</v>
      </c>
      <c r="M282">
        <v>1530</v>
      </c>
      <c r="N282" t="s">
        <v>19</v>
      </c>
    </row>
    <row r="283" spans="1:14" x14ac:dyDescent="0.2">
      <c r="A283">
        <v>282</v>
      </c>
      <c r="B283" t="s">
        <v>48</v>
      </c>
      <c r="C283" t="s">
        <v>42</v>
      </c>
      <c r="D283" s="30">
        <v>40124</v>
      </c>
      <c r="E283">
        <v>7945701336</v>
      </c>
      <c r="F283">
        <v>45</v>
      </c>
      <c r="G283" t="s">
        <v>59</v>
      </c>
      <c r="H283">
        <v>521</v>
      </c>
      <c r="I283" t="s">
        <v>22</v>
      </c>
      <c r="J283" t="s">
        <v>23</v>
      </c>
      <c r="K283">
        <v>91</v>
      </c>
      <c r="L283">
        <v>30</v>
      </c>
      <c r="M283">
        <v>2730</v>
      </c>
      <c r="N283" t="s">
        <v>19</v>
      </c>
    </row>
    <row r="284" spans="1:14" x14ac:dyDescent="0.2">
      <c r="A284">
        <v>283</v>
      </c>
      <c r="B284" t="s">
        <v>52</v>
      </c>
      <c r="C284" t="s">
        <v>42</v>
      </c>
      <c r="D284" s="30">
        <v>34832</v>
      </c>
      <c r="E284">
        <v>8600395106</v>
      </c>
      <c r="F284">
        <v>45</v>
      </c>
      <c r="G284" t="s">
        <v>59</v>
      </c>
      <c r="H284">
        <v>909</v>
      </c>
      <c r="I284" t="s">
        <v>24</v>
      </c>
      <c r="J284" t="s">
        <v>18</v>
      </c>
      <c r="K284">
        <v>25</v>
      </c>
      <c r="L284">
        <v>50</v>
      </c>
      <c r="M284">
        <v>1250</v>
      </c>
      <c r="N284" t="s">
        <v>19</v>
      </c>
    </row>
    <row r="285" spans="1:14" x14ac:dyDescent="0.2">
      <c r="A285">
        <v>284</v>
      </c>
      <c r="B285" t="s">
        <v>52</v>
      </c>
      <c r="C285" t="s">
        <v>42</v>
      </c>
      <c r="D285" s="30">
        <v>34859</v>
      </c>
      <c r="E285">
        <v>9434267034</v>
      </c>
      <c r="F285">
        <v>45</v>
      </c>
      <c r="G285" t="s">
        <v>59</v>
      </c>
      <c r="H285">
        <v>534</v>
      </c>
      <c r="I285" t="s">
        <v>17</v>
      </c>
      <c r="J285" t="s">
        <v>18</v>
      </c>
      <c r="K285">
        <v>40</v>
      </c>
      <c r="L285">
        <v>25</v>
      </c>
      <c r="M285">
        <v>1000</v>
      </c>
      <c r="N285" t="s">
        <v>30</v>
      </c>
    </row>
    <row r="286" spans="1:14" x14ac:dyDescent="0.2">
      <c r="A286">
        <v>285</v>
      </c>
      <c r="B286" t="s">
        <v>52</v>
      </c>
      <c r="C286" t="s">
        <v>42</v>
      </c>
      <c r="D286" s="30">
        <v>34904</v>
      </c>
      <c r="E286">
        <v>8828315322</v>
      </c>
      <c r="F286">
        <v>45</v>
      </c>
      <c r="G286" t="s">
        <v>59</v>
      </c>
      <c r="H286">
        <v>454</v>
      </c>
      <c r="I286" t="s">
        <v>38</v>
      </c>
      <c r="J286" t="s">
        <v>18</v>
      </c>
      <c r="K286">
        <v>31</v>
      </c>
      <c r="L286">
        <v>15</v>
      </c>
      <c r="M286">
        <v>465</v>
      </c>
      <c r="N286" t="s">
        <v>25</v>
      </c>
    </row>
    <row r="287" spans="1:14" x14ac:dyDescent="0.2">
      <c r="A287">
        <v>286</v>
      </c>
      <c r="B287" t="s">
        <v>52</v>
      </c>
      <c r="C287" t="s">
        <v>42</v>
      </c>
      <c r="D287" s="30">
        <v>34913</v>
      </c>
      <c r="E287">
        <v>5074446054</v>
      </c>
      <c r="F287">
        <v>45</v>
      </c>
      <c r="G287" t="s">
        <v>59</v>
      </c>
      <c r="H287">
        <v>521</v>
      </c>
      <c r="I287" t="s">
        <v>22</v>
      </c>
      <c r="J287" t="s">
        <v>23</v>
      </c>
      <c r="K287">
        <v>85</v>
      </c>
      <c r="L287">
        <v>30</v>
      </c>
      <c r="M287">
        <v>2550</v>
      </c>
      <c r="N287" t="s">
        <v>30</v>
      </c>
    </row>
    <row r="288" spans="1:14" x14ac:dyDescent="0.2">
      <c r="A288">
        <v>287</v>
      </c>
      <c r="B288" t="s">
        <v>52</v>
      </c>
      <c r="C288" t="s">
        <v>42</v>
      </c>
      <c r="D288" s="30">
        <v>34922</v>
      </c>
      <c r="E288">
        <v>5510966038</v>
      </c>
      <c r="F288">
        <v>45</v>
      </c>
      <c r="G288" t="s">
        <v>59</v>
      </c>
      <c r="H288">
        <v>548</v>
      </c>
      <c r="I288" t="s">
        <v>24</v>
      </c>
      <c r="J288" t="s">
        <v>18</v>
      </c>
      <c r="K288">
        <v>15</v>
      </c>
      <c r="L288">
        <v>90</v>
      </c>
      <c r="M288">
        <v>1350</v>
      </c>
      <c r="N288" t="s">
        <v>25</v>
      </c>
    </row>
    <row r="289" spans="1:14" x14ac:dyDescent="0.2">
      <c r="A289">
        <v>288</v>
      </c>
      <c r="B289" t="s">
        <v>52</v>
      </c>
      <c r="C289" t="s">
        <v>42</v>
      </c>
      <c r="D289" s="30">
        <v>35759</v>
      </c>
      <c r="E289">
        <v>8600395106</v>
      </c>
      <c r="F289">
        <v>45</v>
      </c>
      <c r="G289" t="s">
        <v>59</v>
      </c>
      <c r="H289">
        <v>909</v>
      </c>
      <c r="I289" t="s">
        <v>24</v>
      </c>
      <c r="J289" t="s">
        <v>18</v>
      </c>
      <c r="K289">
        <v>32</v>
      </c>
      <c r="L289">
        <v>50</v>
      </c>
      <c r="M289">
        <v>1600</v>
      </c>
      <c r="N289" t="s">
        <v>19</v>
      </c>
    </row>
    <row r="290" spans="1:14" x14ac:dyDescent="0.2">
      <c r="A290">
        <v>289</v>
      </c>
      <c r="B290" t="s">
        <v>52</v>
      </c>
      <c r="C290" t="s">
        <v>42</v>
      </c>
      <c r="D290" s="30">
        <v>35786</v>
      </c>
      <c r="E290">
        <v>9434267034</v>
      </c>
      <c r="F290">
        <v>15</v>
      </c>
      <c r="G290" t="s">
        <v>58</v>
      </c>
      <c r="H290">
        <v>534</v>
      </c>
      <c r="I290" t="s">
        <v>17</v>
      </c>
      <c r="J290" t="s">
        <v>18</v>
      </c>
      <c r="K290">
        <v>71</v>
      </c>
      <c r="L290">
        <v>25</v>
      </c>
      <c r="M290">
        <v>1775</v>
      </c>
      <c r="N290" t="s">
        <v>30</v>
      </c>
    </row>
    <row r="291" spans="1:14" x14ac:dyDescent="0.2">
      <c r="A291">
        <v>290</v>
      </c>
      <c r="B291" t="s">
        <v>52</v>
      </c>
      <c r="C291" t="s">
        <v>42</v>
      </c>
      <c r="D291" s="30">
        <v>35831</v>
      </c>
      <c r="E291">
        <v>8828315322</v>
      </c>
      <c r="F291">
        <v>15</v>
      </c>
      <c r="G291" t="s">
        <v>58</v>
      </c>
      <c r="H291">
        <v>454</v>
      </c>
      <c r="I291" t="s">
        <v>38</v>
      </c>
      <c r="J291" t="s">
        <v>18</v>
      </c>
      <c r="K291">
        <v>92</v>
      </c>
      <c r="L291">
        <v>15</v>
      </c>
      <c r="M291">
        <v>1380</v>
      </c>
      <c r="N291" t="s">
        <v>25</v>
      </c>
    </row>
    <row r="292" spans="1:14" x14ac:dyDescent="0.2">
      <c r="A292">
        <v>291</v>
      </c>
      <c r="B292" t="s">
        <v>52</v>
      </c>
      <c r="C292" t="s">
        <v>42</v>
      </c>
      <c r="D292" s="30">
        <v>35840</v>
      </c>
      <c r="E292">
        <v>5074446054</v>
      </c>
      <c r="F292">
        <v>15</v>
      </c>
      <c r="G292" t="s">
        <v>58</v>
      </c>
      <c r="H292">
        <v>521</v>
      </c>
      <c r="I292" t="s">
        <v>22</v>
      </c>
      <c r="J292" t="s">
        <v>23</v>
      </c>
      <c r="K292">
        <v>59</v>
      </c>
      <c r="L292">
        <v>30</v>
      </c>
      <c r="M292">
        <v>1770</v>
      </c>
      <c r="N292" t="s">
        <v>30</v>
      </c>
    </row>
    <row r="293" spans="1:14" x14ac:dyDescent="0.2">
      <c r="A293">
        <v>292</v>
      </c>
      <c r="B293" t="s">
        <v>52</v>
      </c>
      <c r="C293" t="s">
        <v>42</v>
      </c>
      <c r="D293" s="30">
        <v>35849</v>
      </c>
      <c r="E293">
        <v>5510966038</v>
      </c>
      <c r="F293">
        <v>15</v>
      </c>
      <c r="G293" t="s">
        <v>58</v>
      </c>
      <c r="H293">
        <v>548</v>
      </c>
      <c r="I293" t="s">
        <v>24</v>
      </c>
      <c r="J293" t="s">
        <v>18</v>
      </c>
      <c r="K293">
        <v>57</v>
      </c>
      <c r="L293">
        <v>90</v>
      </c>
      <c r="M293">
        <v>5130</v>
      </c>
      <c r="N293" t="s">
        <v>25</v>
      </c>
    </row>
    <row r="294" spans="1:14" x14ac:dyDescent="0.2">
      <c r="A294">
        <v>293</v>
      </c>
      <c r="B294" t="s">
        <v>52</v>
      </c>
      <c r="C294" t="s">
        <v>42</v>
      </c>
      <c r="D294" s="30">
        <v>36686</v>
      </c>
      <c r="E294">
        <v>8600395106</v>
      </c>
      <c r="F294">
        <v>15</v>
      </c>
      <c r="G294" t="s">
        <v>58</v>
      </c>
      <c r="H294">
        <v>909</v>
      </c>
      <c r="I294" t="s">
        <v>24</v>
      </c>
      <c r="J294" t="s">
        <v>18</v>
      </c>
      <c r="K294">
        <v>25</v>
      </c>
      <c r="L294">
        <v>50</v>
      </c>
      <c r="M294">
        <v>1250</v>
      </c>
      <c r="N294" t="s">
        <v>19</v>
      </c>
    </row>
    <row r="295" spans="1:14" x14ac:dyDescent="0.2">
      <c r="A295">
        <v>294</v>
      </c>
      <c r="B295" t="s">
        <v>52</v>
      </c>
      <c r="C295" t="s">
        <v>42</v>
      </c>
      <c r="D295" s="30">
        <v>36713</v>
      </c>
      <c r="E295">
        <v>9434267034</v>
      </c>
      <c r="F295">
        <v>15</v>
      </c>
      <c r="G295" t="s">
        <v>58</v>
      </c>
      <c r="H295">
        <v>534</v>
      </c>
      <c r="I295" t="s">
        <v>17</v>
      </c>
      <c r="J295" t="s">
        <v>18</v>
      </c>
      <c r="K295">
        <v>40</v>
      </c>
      <c r="L295">
        <v>25</v>
      </c>
      <c r="M295">
        <v>1000</v>
      </c>
      <c r="N295" t="s">
        <v>30</v>
      </c>
    </row>
    <row r="296" spans="1:14" x14ac:dyDescent="0.2">
      <c r="A296">
        <v>295</v>
      </c>
      <c r="B296" t="s">
        <v>52</v>
      </c>
      <c r="C296" t="s">
        <v>42</v>
      </c>
      <c r="D296" s="30">
        <v>36758</v>
      </c>
      <c r="E296">
        <v>8828315322</v>
      </c>
      <c r="F296">
        <v>15</v>
      </c>
      <c r="G296" t="s">
        <v>58</v>
      </c>
      <c r="H296">
        <v>454</v>
      </c>
      <c r="I296" t="s">
        <v>38</v>
      </c>
      <c r="J296" t="s">
        <v>18</v>
      </c>
      <c r="K296">
        <v>78</v>
      </c>
      <c r="L296">
        <v>15</v>
      </c>
      <c r="M296">
        <v>1170</v>
      </c>
      <c r="N296" t="s">
        <v>25</v>
      </c>
    </row>
    <row r="297" spans="1:14" x14ac:dyDescent="0.2">
      <c r="A297">
        <v>296</v>
      </c>
      <c r="B297" t="s">
        <v>52</v>
      </c>
      <c r="C297" t="s">
        <v>42</v>
      </c>
      <c r="D297" s="30">
        <v>36767</v>
      </c>
      <c r="E297">
        <v>5074446054</v>
      </c>
      <c r="F297">
        <v>15</v>
      </c>
      <c r="G297" t="s">
        <v>58</v>
      </c>
      <c r="H297">
        <v>521</v>
      </c>
      <c r="I297" t="s">
        <v>22</v>
      </c>
      <c r="J297" t="s">
        <v>23</v>
      </c>
      <c r="K297">
        <v>57</v>
      </c>
      <c r="L297">
        <v>30</v>
      </c>
      <c r="M297">
        <v>1710</v>
      </c>
      <c r="N297" t="s">
        <v>30</v>
      </c>
    </row>
    <row r="298" spans="1:14" x14ac:dyDescent="0.2">
      <c r="A298">
        <v>297</v>
      </c>
      <c r="B298" t="s">
        <v>52</v>
      </c>
      <c r="C298" t="s">
        <v>42</v>
      </c>
      <c r="D298" s="30">
        <v>36776</v>
      </c>
      <c r="E298">
        <v>5510966038</v>
      </c>
      <c r="F298">
        <v>15</v>
      </c>
      <c r="G298" t="s">
        <v>58</v>
      </c>
      <c r="H298">
        <v>548</v>
      </c>
      <c r="I298" t="s">
        <v>24</v>
      </c>
      <c r="J298" t="s">
        <v>18</v>
      </c>
      <c r="K298">
        <v>59</v>
      </c>
      <c r="L298">
        <v>90</v>
      </c>
      <c r="M298">
        <v>5310</v>
      </c>
      <c r="N298" t="s">
        <v>25</v>
      </c>
    </row>
    <row r="299" spans="1:14" x14ac:dyDescent="0.2">
      <c r="A299">
        <v>298</v>
      </c>
      <c r="B299" t="s">
        <v>52</v>
      </c>
      <c r="C299" t="s">
        <v>42</v>
      </c>
      <c r="D299" s="30">
        <v>37613</v>
      </c>
      <c r="E299">
        <v>8600395106</v>
      </c>
      <c r="F299">
        <v>15</v>
      </c>
      <c r="G299" t="s">
        <v>58</v>
      </c>
      <c r="H299">
        <v>909</v>
      </c>
      <c r="I299" t="s">
        <v>24</v>
      </c>
      <c r="J299" t="s">
        <v>18</v>
      </c>
      <c r="K299">
        <v>92</v>
      </c>
      <c r="L299">
        <v>50</v>
      </c>
      <c r="M299">
        <v>4600</v>
      </c>
      <c r="N299" t="s">
        <v>19</v>
      </c>
    </row>
    <row r="300" spans="1:14" x14ac:dyDescent="0.2">
      <c r="A300">
        <v>299</v>
      </c>
      <c r="B300" t="s">
        <v>52</v>
      </c>
      <c r="C300" t="s">
        <v>42</v>
      </c>
      <c r="D300" s="30">
        <v>37640</v>
      </c>
      <c r="E300">
        <v>9434267034</v>
      </c>
      <c r="F300">
        <v>15</v>
      </c>
      <c r="G300" t="s">
        <v>58</v>
      </c>
      <c r="H300">
        <v>534</v>
      </c>
      <c r="I300" t="s">
        <v>17</v>
      </c>
      <c r="J300" t="s">
        <v>18</v>
      </c>
      <c r="K300">
        <v>23</v>
      </c>
      <c r="L300">
        <v>25</v>
      </c>
      <c r="M300">
        <v>575</v>
      </c>
      <c r="N300" t="s">
        <v>30</v>
      </c>
    </row>
    <row r="301" spans="1:14" x14ac:dyDescent="0.2">
      <c r="A301">
        <v>300</v>
      </c>
      <c r="B301" t="s">
        <v>52</v>
      </c>
      <c r="C301" t="s">
        <v>42</v>
      </c>
      <c r="D301" s="30">
        <v>37685</v>
      </c>
      <c r="E301">
        <v>8828315322</v>
      </c>
      <c r="F301">
        <v>15</v>
      </c>
      <c r="G301" t="s">
        <v>58</v>
      </c>
      <c r="H301">
        <v>454</v>
      </c>
      <c r="I301" t="s">
        <v>38</v>
      </c>
      <c r="J301" t="s">
        <v>18</v>
      </c>
      <c r="K301">
        <v>16</v>
      </c>
      <c r="L301">
        <v>15</v>
      </c>
      <c r="M301">
        <v>240</v>
      </c>
      <c r="N301" t="s">
        <v>25</v>
      </c>
    </row>
    <row r="302" spans="1:14" x14ac:dyDescent="0.2">
      <c r="A302">
        <v>301</v>
      </c>
      <c r="B302" t="s">
        <v>52</v>
      </c>
      <c r="C302" t="s">
        <v>42</v>
      </c>
      <c r="D302" s="30">
        <v>37694</v>
      </c>
      <c r="E302">
        <v>5074446054</v>
      </c>
      <c r="F302">
        <v>47</v>
      </c>
      <c r="G302" t="s">
        <v>60</v>
      </c>
      <c r="H302">
        <v>521</v>
      </c>
      <c r="I302" t="s">
        <v>22</v>
      </c>
      <c r="J302" t="s">
        <v>23</v>
      </c>
      <c r="K302">
        <v>43</v>
      </c>
      <c r="L302">
        <v>30</v>
      </c>
      <c r="M302">
        <v>1290</v>
      </c>
      <c r="N30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1"/>
  <dimension ref="A2:N26"/>
  <sheetViews>
    <sheetView workbookViewId="0">
      <selection activeCell="M8" sqref="M8"/>
    </sheetView>
  </sheetViews>
  <sheetFormatPr defaultRowHeight="12.75" x14ac:dyDescent="0.2"/>
  <cols>
    <col min="1" max="1" width="19.85546875" bestFit="1" customWidth="1"/>
    <col min="2" max="2" width="13.28515625" customWidth="1"/>
    <col min="3" max="3" width="17.5703125" customWidth="1"/>
    <col min="4" max="4" width="16.28515625" customWidth="1"/>
    <col min="5" max="5" width="13.28515625" bestFit="1" customWidth="1"/>
    <col min="7" max="7" width="16.28515625" bestFit="1" customWidth="1"/>
    <col min="8" max="8" width="12.5703125" bestFit="1" customWidth="1"/>
    <col min="10" max="10" width="16.28515625" bestFit="1" customWidth="1"/>
    <col min="11" max="11" width="12.5703125" bestFit="1" customWidth="1"/>
    <col min="13" max="13" width="19.85546875" bestFit="1" customWidth="1"/>
    <col min="14" max="14" width="14" customWidth="1"/>
  </cols>
  <sheetData>
    <row r="2" spans="1:14" x14ac:dyDescent="0.2">
      <c r="J2" s="26" t="s">
        <v>87</v>
      </c>
      <c r="K2" t="s">
        <v>90</v>
      </c>
      <c r="M2" s="26" t="s">
        <v>87</v>
      </c>
      <c r="N2" t="s">
        <v>91</v>
      </c>
    </row>
    <row r="3" spans="1:14" x14ac:dyDescent="0.2">
      <c r="A3" s="26" t="s">
        <v>87</v>
      </c>
      <c r="B3" t="s">
        <v>89</v>
      </c>
      <c r="D3" s="26" t="s">
        <v>87</v>
      </c>
      <c r="E3" t="s">
        <v>89</v>
      </c>
      <c r="G3" s="26" t="s">
        <v>87</v>
      </c>
      <c r="H3" t="s">
        <v>90</v>
      </c>
      <c r="J3" s="27" t="s">
        <v>22</v>
      </c>
      <c r="K3" s="28">
        <v>7824</v>
      </c>
      <c r="M3" s="27" t="s">
        <v>14</v>
      </c>
      <c r="N3" s="28">
        <v>18</v>
      </c>
    </row>
    <row r="4" spans="1:14" x14ac:dyDescent="0.2">
      <c r="A4" s="27" t="s">
        <v>14</v>
      </c>
      <c r="B4" s="28">
        <v>51030</v>
      </c>
      <c r="D4" s="27" t="s">
        <v>22</v>
      </c>
      <c r="E4" s="28">
        <v>248090</v>
      </c>
      <c r="G4" s="27" t="s">
        <v>19</v>
      </c>
      <c r="H4" s="28">
        <v>11640</v>
      </c>
      <c r="J4" s="27" t="s">
        <v>38</v>
      </c>
      <c r="K4" s="28">
        <v>6131</v>
      </c>
      <c r="M4" s="27" t="s">
        <v>41</v>
      </c>
      <c r="N4" s="28">
        <v>54</v>
      </c>
    </row>
    <row r="5" spans="1:14" x14ac:dyDescent="0.2">
      <c r="A5" s="27" t="s">
        <v>41</v>
      </c>
      <c r="B5" s="28">
        <v>120650</v>
      </c>
      <c r="D5" s="27" t="s">
        <v>38</v>
      </c>
      <c r="E5" s="28">
        <v>91965</v>
      </c>
      <c r="G5" s="27" t="s">
        <v>30</v>
      </c>
      <c r="H5" s="28">
        <v>12385</v>
      </c>
      <c r="J5" s="27" t="s">
        <v>28</v>
      </c>
      <c r="K5" s="28">
        <v>3149</v>
      </c>
      <c r="M5" s="27" t="s">
        <v>43</v>
      </c>
      <c r="N5" s="28">
        <v>132</v>
      </c>
    </row>
    <row r="6" spans="1:14" x14ac:dyDescent="0.2">
      <c r="A6" s="27" t="s">
        <v>43</v>
      </c>
      <c r="B6" s="28">
        <v>207869</v>
      </c>
      <c r="D6" s="27" t="s">
        <v>28</v>
      </c>
      <c r="E6" s="28">
        <v>4224</v>
      </c>
      <c r="G6" s="27" t="s">
        <v>25</v>
      </c>
      <c r="H6" s="28">
        <v>10534</v>
      </c>
      <c r="J6" s="27" t="s">
        <v>47</v>
      </c>
      <c r="K6" s="28">
        <v>1448</v>
      </c>
      <c r="M6" s="27" t="s">
        <v>68</v>
      </c>
      <c r="N6" s="28">
        <v>1</v>
      </c>
    </row>
    <row r="7" spans="1:14" x14ac:dyDescent="0.2">
      <c r="A7" s="27" t="s">
        <v>68</v>
      </c>
      <c r="B7" s="28">
        <v>560</v>
      </c>
      <c r="D7" s="27" t="s">
        <v>47</v>
      </c>
      <c r="E7" s="28">
        <v>48440</v>
      </c>
      <c r="G7" s="27" t="s">
        <v>88</v>
      </c>
      <c r="H7" s="28">
        <v>34559</v>
      </c>
      <c r="J7" s="27" t="s">
        <v>17</v>
      </c>
      <c r="K7" s="28">
        <v>8326</v>
      </c>
      <c r="M7" s="27" t="s">
        <v>53</v>
      </c>
      <c r="N7" s="28">
        <v>6</v>
      </c>
    </row>
    <row r="8" spans="1:14" x14ac:dyDescent="0.2">
      <c r="A8" s="27" t="s">
        <v>53</v>
      </c>
      <c r="B8" s="28">
        <v>13140</v>
      </c>
      <c r="D8" s="27" t="s">
        <v>17</v>
      </c>
      <c r="E8" s="28">
        <v>285380</v>
      </c>
      <c r="J8" s="27" t="s">
        <v>36</v>
      </c>
      <c r="K8" s="28">
        <v>3867</v>
      </c>
      <c r="M8" s="27" t="s">
        <v>70</v>
      </c>
      <c r="N8" s="28">
        <v>66</v>
      </c>
    </row>
    <row r="9" spans="1:14" x14ac:dyDescent="0.2">
      <c r="A9" s="27" t="s">
        <v>70</v>
      </c>
      <c r="B9" s="28">
        <v>172000</v>
      </c>
      <c r="D9" s="27" t="s">
        <v>36</v>
      </c>
      <c r="E9" s="28">
        <v>232020</v>
      </c>
      <c r="J9" s="27" t="s">
        <v>24</v>
      </c>
      <c r="K9" s="28">
        <v>3814</v>
      </c>
      <c r="M9" s="27" t="s">
        <v>50</v>
      </c>
      <c r="N9" s="28">
        <v>18</v>
      </c>
    </row>
    <row r="10" spans="1:14" x14ac:dyDescent="0.2">
      <c r="A10" s="27" t="s">
        <v>50</v>
      </c>
      <c r="B10" s="28">
        <v>29175</v>
      </c>
      <c r="D10" s="27" t="s">
        <v>24</v>
      </c>
      <c r="E10" s="28">
        <v>253700</v>
      </c>
      <c r="J10" s="27" t="s">
        <v>88</v>
      </c>
      <c r="K10" s="28">
        <v>34559</v>
      </c>
      <c r="M10" s="27" t="s">
        <v>71</v>
      </c>
      <c r="N10" s="28">
        <v>6</v>
      </c>
    </row>
    <row r="11" spans="1:14" x14ac:dyDescent="0.2">
      <c r="A11" s="27" t="s">
        <v>71</v>
      </c>
      <c r="B11" s="28">
        <v>11550</v>
      </c>
      <c r="D11" s="27" t="s">
        <v>88</v>
      </c>
      <c r="E11" s="28">
        <v>1163819</v>
      </c>
      <c r="M11" s="27" t="s">
        <v>46</v>
      </c>
      <c r="N11" s="28">
        <v>6</v>
      </c>
    </row>
    <row r="12" spans="1:14" x14ac:dyDescent="0.2">
      <c r="A12" s="27" t="s">
        <v>46</v>
      </c>
      <c r="B12" s="28">
        <v>12280</v>
      </c>
      <c r="M12" s="27" t="s">
        <v>48</v>
      </c>
      <c r="N12" s="28">
        <v>30</v>
      </c>
    </row>
    <row r="13" spans="1:14" x14ac:dyDescent="0.2">
      <c r="A13" s="27" t="s">
        <v>48</v>
      </c>
      <c r="B13" s="28">
        <v>65010</v>
      </c>
      <c r="M13" s="27" t="s">
        <v>81</v>
      </c>
      <c r="N13" s="28">
        <v>24</v>
      </c>
    </row>
    <row r="14" spans="1:14" x14ac:dyDescent="0.2">
      <c r="A14" s="27" t="s">
        <v>81</v>
      </c>
      <c r="B14" s="28">
        <v>42040</v>
      </c>
      <c r="M14" s="27" t="s">
        <v>21</v>
      </c>
      <c r="N14" s="28">
        <v>12</v>
      </c>
    </row>
    <row r="15" spans="1:14" x14ac:dyDescent="0.2">
      <c r="A15" s="27" t="s">
        <v>21</v>
      </c>
      <c r="B15" s="28">
        <v>23100</v>
      </c>
      <c r="M15" s="27" t="s">
        <v>67</v>
      </c>
      <c r="N15" s="28">
        <v>12</v>
      </c>
    </row>
    <row r="16" spans="1:14" x14ac:dyDescent="0.2">
      <c r="A16" s="27" t="s">
        <v>67</v>
      </c>
      <c r="B16" s="28">
        <v>13980</v>
      </c>
      <c r="M16" s="27" t="s">
        <v>52</v>
      </c>
      <c r="N16" s="28">
        <v>78</v>
      </c>
    </row>
    <row r="17" spans="1:14" x14ac:dyDescent="0.2">
      <c r="A17" s="27" t="s">
        <v>52</v>
      </c>
      <c r="B17" s="28">
        <v>153043</v>
      </c>
      <c r="M17" s="27" t="s">
        <v>26</v>
      </c>
      <c r="N17" s="28">
        <v>12</v>
      </c>
    </row>
    <row r="18" spans="1:14" x14ac:dyDescent="0.2">
      <c r="A18" s="27" t="s">
        <v>26</v>
      </c>
      <c r="B18" s="28">
        <v>10841</v>
      </c>
      <c r="M18" s="27" t="s">
        <v>31</v>
      </c>
      <c r="N18" s="28">
        <v>6</v>
      </c>
    </row>
    <row r="19" spans="1:14" x14ac:dyDescent="0.2">
      <c r="A19" s="27" t="s">
        <v>31</v>
      </c>
      <c r="B19" s="28">
        <v>19890</v>
      </c>
      <c r="M19" s="27" t="s">
        <v>55</v>
      </c>
      <c r="N19" s="28">
        <v>6</v>
      </c>
    </row>
    <row r="20" spans="1:14" x14ac:dyDescent="0.2">
      <c r="A20" s="27" t="s">
        <v>55</v>
      </c>
      <c r="B20" s="28">
        <v>9625</v>
      </c>
      <c r="M20" s="27" t="s">
        <v>33</v>
      </c>
      <c r="N20" s="28">
        <v>12</v>
      </c>
    </row>
    <row r="21" spans="1:14" x14ac:dyDescent="0.2">
      <c r="A21" s="27" t="s">
        <v>33</v>
      </c>
      <c r="B21" s="28">
        <v>9482</v>
      </c>
      <c r="M21" s="27" t="s">
        <v>76</v>
      </c>
      <c r="N21" s="28">
        <v>6</v>
      </c>
    </row>
    <row r="22" spans="1:14" x14ac:dyDescent="0.2">
      <c r="A22" s="27" t="s">
        <v>76</v>
      </c>
      <c r="B22" s="28">
        <v>7215</v>
      </c>
      <c r="M22" s="27" t="s">
        <v>35</v>
      </c>
      <c r="N22" s="28">
        <v>18</v>
      </c>
    </row>
    <row r="23" spans="1:14" x14ac:dyDescent="0.2">
      <c r="A23" s="27" t="s">
        <v>35</v>
      </c>
      <c r="B23" s="28">
        <v>51675</v>
      </c>
      <c r="M23" s="27" t="s">
        <v>78</v>
      </c>
      <c r="N23" s="28">
        <v>42</v>
      </c>
    </row>
    <row r="24" spans="1:14" x14ac:dyDescent="0.2">
      <c r="A24" s="27" t="s">
        <v>78</v>
      </c>
      <c r="B24" s="28">
        <v>59108</v>
      </c>
      <c r="M24" s="27" t="s">
        <v>37</v>
      </c>
      <c r="N24" s="28">
        <v>54</v>
      </c>
    </row>
    <row r="25" spans="1:14" x14ac:dyDescent="0.2">
      <c r="A25" s="27" t="s">
        <v>37</v>
      </c>
      <c r="B25" s="28">
        <v>80556</v>
      </c>
      <c r="M25" s="27" t="s">
        <v>88</v>
      </c>
      <c r="N25" s="28">
        <v>619</v>
      </c>
    </row>
    <row r="26" spans="1:14" x14ac:dyDescent="0.2">
      <c r="A26" s="27" t="s">
        <v>88</v>
      </c>
      <c r="B26" s="28">
        <v>1163819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2"/>
  <dimension ref="A1"/>
  <sheetViews>
    <sheetView topLeftCell="A46" zoomScale="98" zoomScaleNormal="98" workbookViewId="0">
      <selection activeCell="AG40" sqref="AG40"/>
    </sheetView>
  </sheetViews>
  <sheetFormatPr defaultColWidth="9.140625" defaultRowHeight="12.75" x14ac:dyDescent="0.2"/>
  <cols>
    <col min="1" max="20" width="9.140625" style="29"/>
    <col min="21" max="22" width="9.140625" style="29" customWidth="1"/>
    <col min="23" max="16384" width="9.140625" style="29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3"/>
  <dimension ref="A1:N621"/>
  <sheetViews>
    <sheetView zoomScaleNormal="85" workbookViewId="0">
      <selection activeCell="D11" sqref="D11"/>
    </sheetView>
  </sheetViews>
  <sheetFormatPr defaultColWidth="9.140625" defaultRowHeight="16.5" customHeight="1" x14ac:dyDescent="0.2"/>
  <cols>
    <col min="1" max="1" width="9.7109375" style="23" customWidth="1"/>
    <col min="2" max="2" width="24.42578125" style="24" bestFit="1" customWidth="1"/>
    <col min="3" max="3" width="18.5703125" style="24" bestFit="1" customWidth="1"/>
    <col min="4" max="4" width="15" style="24" customWidth="1"/>
    <col min="5" max="5" width="18.28515625" style="24" customWidth="1"/>
    <col min="6" max="6" width="16" style="24" customWidth="1"/>
    <col min="7" max="7" width="27.28515625" style="24" bestFit="1" customWidth="1"/>
    <col min="8" max="8" width="17.42578125" style="24" customWidth="1"/>
    <col min="9" max="9" width="16.5703125" style="24" customWidth="1"/>
    <col min="10" max="10" width="10.140625" style="6" customWidth="1"/>
    <col min="11" max="11" width="9.140625" style="24" customWidth="1"/>
    <col min="12" max="12" width="18" style="25" customWidth="1"/>
    <col min="13" max="13" width="13" style="25" bestFit="1" customWidth="1"/>
    <col min="14" max="14" width="18.28515625" style="6" customWidth="1"/>
    <col min="15" max="16384" width="9.140625" style="6"/>
  </cols>
  <sheetData>
    <row r="1" spans="1:14" ht="15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</row>
    <row r="2" spans="1:14" ht="16.5" customHeight="1" thickTop="1" x14ac:dyDescent="0.2">
      <c r="A2" s="7">
        <v>1</v>
      </c>
      <c r="B2" s="8" t="s">
        <v>14</v>
      </c>
      <c r="C2" s="9" t="s">
        <v>15</v>
      </c>
      <c r="D2" s="10">
        <v>35138</v>
      </c>
      <c r="E2" s="11">
        <v>7760766503</v>
      </c>
      <c r="F2" s="12">
        <v>14</v>
      </c>
      <c r="G2" s="4" t="s">
        <v>16</v>
      </c>
      <c r="H2" s="13">
        <v>240</v>
      </c>
      <c r="I2" s="14" t="s">
        <v>17</v>
      </c>
      <c r="J2" s="14" t="s">
        <v>18</v>
      </c>
      <c r="K2" s="14">
        <v>97</v>
      </c>
      <c r="L2" s="15">
        <v>45</v>
      </c>
      <c r="M2" s="15">
        <f t="shared" ref="M2:M65" si="0">L2*K2</f>
        <v>4365</v>
      </c>
      <c r="N2" s="16" t="s">
        <v>19</v>
      </c>
    </row>
    <row r="3" spans="1:14" ht="16.5" customHeight="1" x14ac:dyDescent="0.2">
      <c r="A3" s="7">
        <v>2</v>
      </c>
      <c r="B3" s="8" t="s">
        <v>14</v>
      </c>
      <c r="C3" s="9" t="s">
        <v>15</v>
      </c>
      <c r="D3" s="10">
        <v>36065</v>
      </c>
      <c r="E3" s="11">
        <v>7760766503</v>
      </c>
      <c r="F3" s="12">
        <v>14</v>
      </c>
      <c r="G3" s="4" t="s">
        <v>16</v>
      </c>
      <c r="H3" s="13">
        <v>240</v>
      </c>
      <c r="I3" s="14" t="s">
        <v>17</v>
      </c>
      <c r="J3" s="14" t="s">
        <v>18</v>
      </c>
      <c r="K3" s="14">
        <v>92</v>
      </c>
      <c r="L3" s="15">
        <v>45</v>
      </c>
      <c r="M3" s="15">
        <f t="shared" si="0"/>
        <v>4140</v>
      </c>
      <c r="N3" s="16" t="s">
        <v>19</v>
      </c>
    </row>
    <row r="4" spans="1:14" ht="16.5" customHeight="1" x14ac:dyDescent="0.2">
      <c r="A4" s="7">
        <v>3</v>
      </c>
      <c r="B4" s="8" t="s">
        <v>14</v>
      </c>
      <c r="C4" s="9" t="s">
        <v>15</v>
      </c>
      <c r="D4" s="10">
        <v>36992</v>
      </c>
      <c r="E4" s="11">
        <v>7760766503</v>
      </c>
      <c r="F4" s="12">
        <v>14</v>
      </c>
      <c r="G4" s="4" t="s">
        <v>16</v>
      </c>
      <c r="H4" s="13">
        <v>240</v>
      </c>
      <c r="I4" s="14" t="s">
        <v>17</v>
      </c>
      <c r="J4" s="14" t="s">
        <v>18</v>
      </c>
      <c r="K4" s="14">
        <v>88</v>
      </c>
      <c r="L4" s="15">
        <v>45</v>
      </c>
      <c r="M4" s="15">
        <f t="shared" si="0"/>
        <v>3960</v>
      </c>
      <c r="N4" s="16" t="s">
        <v>19</v>
      </c>
    </row>
    <row r="5" spans="1:14" ht="16.5" customHeight="1" x14ac:dyDescent="0.2">
      <c r="A5" s="7">
        <v>4</v>
      </c>
      <c r="B5" s="8" t="s">
        <v>14</v>
      </c>
      <c r="C5" s="9" t="s">
        <v>15</v>
      </c>
      <c r="D5" s="10">
        <v>37919</v>
      </c>
      <c r="E5" s="11">
        <v>7760766503</v>
      </c>
      <c r="F5" s="12">
        <v>14</v>
      </c>
      <c r="G5" s="4" t="s">
        <v>16</v>
      </c>
      <c r="H5" s="13">
        <v>240</v>
      </c>
      <c r="I5" s="14" t="s">
        <v>17</v>
      </c>
      <c r="J5" s="14" t="s">
        <v>18</v>
      </c>
      <c r="K5" s="14">
        <v>61</v>
      </c>
      <c r="L5" s="15">
        <v>45</v>
      </c>
      <c r="M5" s="15">
        <f t="shared" si="0"/>
        <v>2745</v>
      </c>
      <c r="N5" s="16" t="s">
        <v>19</v>
      </c>
    </row>
    <row r="6" spans="1:14" ht="16.5" customHeight="1" x14ac:dyDescent="0.2">
      <c r="A6" s="7">
        <v>5</v>
      </c>
      <c r="B6" s="8" t="s">
        <v>14</v>
      </c>
      <c r="C6" s="9" t="s">
        <v>15</v>
      </c>
      <c r="D6" s="10">
        <v>38846</v>
      </c>
      <c r="E6" s="11">
        <v>7760766503</v>
      </c>
      <c r="F6" s="12">
        <v>14</v>
      </c>
      <c r="G6" s="4" t="s">
        <v>16</v>
      </c>
      <c r="H6" s="13">
        <v>240</v>
      </c>
      <c r="I6" s="14" t="s">
        <v>17</v>
      </c>
      <c r="J6" s="14" t="s">
        <v>18</v>
      </c>
      <c r="K6" s="14">
        <v>84</v>
      </c>
      <c r="L6" s="15">
        <v>45</v>
      </c>
      <c r="M6" s="15">
        <f t="shared" si="0"/>
        <v>3780</v>
      </c>
      <c r="N6" s="16" t="s">
        <v>19</v>
      </c>
    </row>
    <row r="7" spans="1:14" ht="16.5" customHeight="1" x14ac:dyDescent="0.2">
      <c r="A7" s="7">
        <v>6</v>
      </c>
      <c r="B7" s="8" t="s">
        <v>14</v>
      </c>
      <c r="C7" s="9" t="s">
        <v>15</v>
      </c>
      <c r="D7" s="10">
        <v>39773</v>
      </c>
      <c r="E7" s="11">
        <v>7760766503</v>
      </c>
      <c r="F7" s="12">
        <v>42</v>
      </c>
      <c r="G7" s="4" t="s">
        <v>20</v>
      </c>
      <c r="H7" s="13">
        <v>240</v>
      </c>
      <c r="I7" s="14" t="s">
        <v>17</v>
      </c>
      <c r="J7" s="14" t="s">
        <v>18</v>
      </c>
      <c r="K7" s="14">
        <v>24</v>
      </c>
      <c r="L7" s="15">
        <v>45</v>
      </c>
      <c r="M7" s="15">
        <f t="shared" si="0"/>
        <v>1080</v>
      </c>
      <c r="N7" s="16" t="s">
        <v>19</v>
      </c>
    </row>
    <row r="8" spans="1:14" ht="16.5" customHeight="1" x14ac:dyDescent="0.2">
      <c r="A8" s="7">
        <v>7</v>
      </c>
      <c r="B8" s="8" t="s">
        <v>21</v>
      </c>
      <c r="C8" s="9" t="s">
        <v>15</v>
      </c>
      <c r="D8" s="10">
        <v>34949</v>
      </c>
      <c r="E8" s="11">
        <v>5608258929</v>
      </c>
      <c r="F8" s="12">
        <v>42</v>
      </c>
      <c r="G8" s="4" t="s">
        <v>20</v>
      </c>
      <c r="H8" s="13">
        <v>521</v>
      </c>
      <c r="I8" s="14" t="s">
        <v>22</v>
      </c>
      <c r="J8" s="14" t="s">
        <v>23</v>
      </c>
      <c r="K8" s="14">
        <v>49</v>
      </c>
      <c r="L8" s="15">
        <v>30</v>
      </c>
      <c r="M8" s="15">
        <f t="shared" si="0"/>
        <v>1470</v>
      </c>
      <c r="N8" s="16" t="s">
        <v>19</v>
      </c>
    </row>
    <row r="9" spans="1:14" ht="16.5" customHeight="1" x14ac:dyDescent="0.2">
      <c r="A9" s="7">
        <v>8</v>
      </c>
      <c r="B9" s="8" t="s">
        <v>21</v>
      </c>
      <c r="C9" s="9" t="s">
        <v>15</v>
      </c>
      <c r="D9" s="10">
        <v>34958</v>
      </c>
      <c r="E9" s="11">
        <v>4354550724</v>
      </c>
      <c r="F9" s="12">
        <v>42</v>
      </c>
      <c r="G9" s="4" t="s">
        <v>20</v>
      </c>
      <c r="H9" s="13">
        <v>909</v>
      </c>
      <c r="I9" s="14" t="s">
        <v>24</v>
      </c>
      <c r="J9" s="14" t="s">
        <v>18</v>
      </c>
      <c r="K9" s="14">
        <v>51</v>
      </c>
      <c r="L9" s="15">
        <v>50</v>
      </c>
      <c r="M9" s="15">
        <f t="shared" si="0"/>
        <v>2550</v>
      </c>
      <c r="N9" s="14" t="s">
        <v>25</v>
      </c>
    </row>
    <row r="10" spans="1:14" ht="16.5" customHeight="1" x14ac:dyDescent="0.2">
      <c r="A10" s="7">
        <v>9</v>
      </c>
      <c r="B10" s="8" t="s">
        <v>21</v>
      </c>
      <c r="C10" s="9" t="s">
        <v>15</v>
      </c>
      <c r="D10" s="10">
        <v>35876</v>
      </c>
      <c r="E10" s="11">
        <v>5608258929</v>
      </c>
      <c r="F10" s="12">
        <v>42</v>
      </c>
      <c r="G10" s="4" t="s">
        <v>20</v>
      </c>
      <c r="H10" s="13">
        <v>521</v>
      </c>
      <c r="I10" s="14" t="s">
        <v>22</v>
      </c>
      <c r="J10" s="14" t="s">
        <v>23</v>
      </c>
      <c r="K10" s="14">
        <v>22</v>
      </c>
      <c r="L10" s="15">
        <v>30</v>
      </c>
      <c r="M10" s="15">
        <f t="shared" si="0"/>
        <v>660</v>
      </c>
      <c r="N10" s="16" t="s">
        <v>19</v>
      </c>
    </row>
    <row r="11" spans="1:14" ht="16.5" customHeight="1" x14ac:dyDescent="0.2">
      <c r="A11" s="7">
        <v>10</v>
      </c>
      <c r="B11" s="8" t="s">
        <v>21</v>
      </c>
      <c r="C11" s="9" t="s">
        <v>15</v>
      </c>
      <c r="D11" s="10">
        <v>35885</v>
      </c>
      <c r="E11" s="11">
        <v>4354550724</v>
      </c>
      <c r="F11" s="12">
        <v>14</v>
      </c>
      <c r="G11" s="4" t="s">
        <v>16</v>
      </c>
      <c r="H11" s="13">
        <v>909</v>
      </c>
      <c r="I11" s="14" t="s">
        <v>24</v>
      </c>
      <c r="J11" s="14" t="s">
        <v>18</v>
      </c>
      <c r="K11" s="14">
        <v>44</v>
      </c>
      <c r="L11" s="15">
        <v>50</v>
      </c>
      <c r="M11" s="15">
        <f t="shared" si="0"/>
        <v>2200</v>
      </c>
      <c r="N11" s="14" t="s">
        <v>25</v>
      </c>
    </row>
    <row r="12" spans="1:14" ht="16.5" customHeight="1" x14ac:dyDescent="0.2">
      <c r="A12" s="7">
        <v>11</v>
      </c>
      <c r="B12" s="8" t="s">
        <v>21</v>
      </c>
      <c r="C12" s="9" t="s">
        <v>15</v>
      </c>
      <c r="D12" s="10">
        <v>36803</v>
      </c>
      <c r="E12" s="11">
        <v>5608258929</v>
      </c>
      <c r="F12" s="12">
        <v>14</v>
      </c>
      <c r="G12" s="4" t="s">
        <v>16</v>
      </c>
      <c r="H12" s="13">
        <v>521</v>
      </c>
      <c r="I12" s="14" t="s">
        <v>22</v>
      </c>
      <c r="J12" s="14" t="s">
        <v>23</v>
      </c>
      <c r="K12" s="14">
        <v>43</v>
      </c>
      <c r="L12" s="15">
        <v>30</v>
      </c>
      <c r="M12" s="15">
        <f t="shared" si="0"/>
        <v>1290</v>
      </c>
      <c r="N12" s="16" t="s">
        <v>19</v>
      </c>
    </row>
    <row r="13" spans="1:14" ht="16.5" customHeight="1" x14ac:dyDescent="0.2">
      <c r="A13" s="7">
        <v>12</v>
      </c>
      <c r="B13" s="8" t="s">
        <v>21</v>
      </c>
      <c r="C13" s="9" t="s">
        <v>15</v>
      </c>
      <c r="D13" s="10">
        <v>36812</v>
      </c>
      <c r="E13" s="11">
        <v>4354550724</v>
      </c>
      <c r="F13" s="12">
        <v>14</v>
      </c>
      <c r="G13" s="4" t="s">
        <v>16</v>
      </c>
      <c r="H13" s="13">
        <v>909</v>
      </c>
      <c r="I13" s="14" t="s">
        <v>24</v>
      </c>
      <c r="J13" s="14" t="s">
        <v>18</v>
      </c>
      <c r="K13" s="14">
        <v>87</v>
      </c>
      <c r="L13" s="15">
        <v>50</v>
      </c>
      <c r="M13" s="15">
        <f t="shared" si="0"/>
        <v>4350</v>
      </c>
      <c r="N13" s="14" t="s">
        <v>25</v>
      </c>
    </row>
    <row r="14" spans="1:14" ht="16.5" customHeight="1" x14ac:dyDescent="0.2">
      <c r="A14" s="7">
        <v>13</v>
      </c>
      <c r="B14" s="8" t="s">
        <v>21</v>
      </c>
      <c r="C14" s="9" t="s">
        <v>15</v>
      </c>
      <c r="D14" s="10">
        <v>37730</v>
      </c>
      <c r="E14" s="11">
        <v>5608258929</v>
      </c>
      <c r="F14" s="12">
        <v>14</v>
      </c>
      <c r="G14" s="4" t="s">
        <v>16</v>
      </c>
      <c r="H14" s="13">
        <v>521</v>
      </c>
      <c r="I14" s="14" t="s">
        <v>22</v>
      </c>
      <c r="J14" s="14" t="s">
        <v>23</v>
      </c>
      <c r="K14" s="14">
        <v>36</v>
      </c>
      <c r="L14" s="15">
        <v>30</v>
      </c>
      <c r="M14" s="15">
        <f t="shared" si="0"/>
        <v>1080</v>
      </c>
      <c r="N14" s="16" t="s">
        <v>19</v>
      </c>
    </row>
    <row r="15" spans="1:14" ht="16.5" customHeight="1" x14ac:dyDescent="0.2">
      <c r="A15" s="7">
        <v>14</v>
      </c>
      <c r="B15" s="8" t="s">
        <v>21</v>
      </c>
      <c r="C15" s="9" t="s">
        <v>15</v>
      </c>
      <c r="D15" s="10">
        <v>37739</v>
      </c>
      <c r="E15" s="11">
        <v>4354550724</v>
      </c>
      <c r="F15" s="12">
        <v>14</v>
      </c>
      <c r="G15" s="4" t="s">
        <v>16</v>
      </c>
      <c r="H15" s="13">
        <v>909</v>
      </c>
      <c r="I15" s="14" t="s">
        <v>24</v>
      </c>
      <c r="J15" s="14" t="s">
        <v>18</v>
      </c>
      <c r="K15" s="14">
        <v>70</v>
      </c>
      <c r="L15" s="15">
        <v>50</v>
      </c>
      <c r="M15" s="15">
        <f t="shared" si="0"/>
        <v>3500</v>
      </c>
      <c r="N15" s="14" t="s">
        <v>25</v>
      </c>
    </row>
    <row r="16" spans="1:14" ht="16.5" customHeight="1" x14ac:dyDescent="0.2">
      <c r="A16" s="7">
        <v>15</v>
      </c>
      <c r="B16" s="8" t="s">
        <v>21</v>
      </c>
      <c r="C16" s="9" t="s">
        <v>15</v>
      </c>
      <c r="D16" s="10">
        <v>38657</v>
      </c>
      <c r="E16" s="11">
        <v>5608258929</v>
      </c>
      <c r="F16" s="12">
        <v>14</v>
      </c>
      <c r="G16" s="4" t="s">
        <v>16</v>
      </c>
      <c r="H16" s="13">
        <v>521</v>
      </c>
      <c r="I16" s="14" t="s">
        <v>22</v>
      </c>
      <c r="J16" s="14" t="s">
        <v>23</v>
      </c>
      <c r="K16" s="14">
        <v>31</v>
      </c>
      <c r="L16" s="15">
        <v>30</v>
      </c>
      <c r="M16" s="15">
        <f t="shared" si="0"/>
        <v>930</v>
      </c>
      <c r="N16" s="16" t="s">
        <v>19</v>
      </c>
    </row>
    <row r="17" spans="1:14" ht="16.5" customHeight="1" x14ac:dyDescent="0.2">
      <c r="A17" s="7">
        <v>16</v>
      </c>
      <c r="B17" s="8" t="s">
        <v>21</v>
      </c>
      <c r="C17" s="9" t="s">
        <v>15</v>
      </c>
      <c r="D17" s="10">
        <v>38666</v>
      </c>
      <c r="E17" s="11">
        <v>4354550724</v>
      </c>
      <c r="F17" s="12">
        <v>14</v>
      </c>
      <c r="G17" s="4" t="s">
        <v>16</v>
      </c>
      <c r="H17" s="13">
        <v>909</v>
      </c>
      <c r="I17" s="14" t="s">
        <v>24</v>
      </c>
      <c r="J17" s="14" t="s">
        <v>18</v>
      </c>
      <c r="K17" s="14">
        <v>35</v>
      </c>
      <c r="L17" s="15">
        <v>50</v>
      </c>
      <c r="M17" s="15">
        <f t="shared" si="0"/>
        <v>1750</v>
      </c>
      <c r="N17" s="14" t="s">
        <v>25</v>
      </c>
    </row>
    <row r="18" spans="1:14" ht="16.5" customHeight="1" x14ac:dyDescent="0.2">
      <c r="A18" s="7">
        <v>17</v>
      </c>
      <c r="B18" s="8" t="s">
        <v>21</v>
      </c>
      <c r="C18" s="9" t="s">
        <v>15</v>
      </c>
      <c r="D18" s="10">
        <v>39584</v>
      </c>
      <c r="E18" s="11">
        <v>5608258929</v>
      </c>
      <c r="F18" s="12">
        <v>14</v>
      </c>
      <c r="G18" s="4" t="s">
        <v>16</v>
      </c>
      <c r="H18" s="13">
        <v>521</v>
      </c>
      <c r="I18" s="14" t="s">
        <v>22</v>
      </c>
      <c r="J18" s="14" t="s">
        <v>23</v>
      </c>
      <c r="K18" s="14">
        <v>54</v>
      </c>
      <c r="L18" s="15">
        <v>30</v>
      </c>
      <c r="M18" s="15">
        <f t="shared" si="0"/>
        <v>1620</v>
      </c>
      <c r="N18" s="16" t="s">
        <v>19</v>
      </c>
    </row>
    <row r="19" spans="1:14" ht="16.5" customHeight="1" x14ac:dyDescent="0.2">
      <c r="A19" s="7">
        <v>18</v>
      </c>
      <c r="B19" s="8" t="s">
        <v>21</v>
      </c>
      <c r="C19" s="9" t="s">
        <v>15</v>
      </c>
      <c r="D19" s="10">
        <v>39593</v>
      </c>
      <c r="E19" s="11">
        <v>4354550724</v>
      </c>
      <c r="F19" s="12">
        <v>14</v>
      </c>
      <c r="G19" s="4" t="s">
        <v>16</v>
      </c>
      <c r="H19" s="13">
        <v>909</v>
      </c>
      <c r="I19" s="14" t="s">
        <v>24</v>
      </c>
      <c r="J19" s="14" t="s">
        <v>18</v>
      </c>
      <c r="K19" s="14">
        <v>34</v>
      </c>
      <c r="L19" s="15">
        <v>50</v>
      </c>
      <c r="M19" s="15">
        <f t="shared" si="0"/>
        <v>1700</v>
      </c>
      <c r="N19" s="14" t="s">
        <v>25</v>
      </c>
    </row>
    <row r="20" spans="1:14" ht="16.5" customHeight="1" x14ac:dyDescent="0.2">
      <c r="A20" s="7">
        <v>19</v>
      </c>
      <c r="B20" s="8" t="s">
        <v>26</v>
      </c>
      <c r="C20" s="9" t="s">
        <v>15</v>
      </c>
      <c r="D20" s="10">
        <v>35462</v>
      </c>
      <c r="E20" s="11">
        <v>8044117947</v>
      </c>
      <c r="F20" s="12">
        <v>14</v>
      </c>
      <c r="G20" s="4" t="s">
        <v>16</v>
      </c>
      <c r="H20" s="13">
        <v>521</v>
      </c>
      <c r="I20" s="14" t="s">
        <v>22</v>
      </c>
      <c r="J20" s="14" t="s">
        <v>23</v>
      </c>
      <c r="K20" s="14">
        <v>90</v>
      </c>
      <c r="L20" s="15">
        <v>30</v>
      </c>
      <c r="M20" s="15">
        <f t="shared" si="0"/>
        <v>2700</v>
      </c>
      <c r="N20" s="14" t="s">
        <v>25</v>
      </c>
    </row>
    <row r="21" spans="1:14" ht="16.5" customHeight="1" x14ac:dyDescent="0.2">
      <c r="A21" s="7">
        <v>20</v>
      </c>
      <c r="B21" s="8" t="s">
        <v>26</v>
      </c>
      <c r="C21" s="9" t="s">
        <v>15</v>
      </c>
      <c r="D21" s="10">
        <v>35471</v>
      </c>
      <c r="E21" s="11">
        <v>6420218020</v>
      </c>
      <c r="F21" s="12">
        <v>28</v>
      </c>
      <c r="G21" s="4" t="s">
        <v>27</v>
      </c>
      <c r="H21" s="13">
        <v>568</v>
      </c>
      <c r="I21" s="14" t="s">
        <v>28</v>
      </c>
      <c r="J21" s="14" t="s">
        <v>29</v>
      </c>
      <c r="K21" s="14">
        <v>11</v>
      </c>
      <c r="L21" s="15">
        <v>1</v>
      </c>
      <c r="M21" s="15">
        <f t="shared" si="0"/>
        <v>11</v>
      </c>
      <c r="N21" s="14" t="s">
        <v>30</v>
      </c>
    </row>
    <row r="22" spans="1:14" ht="16.5" customHeight="1" x14ac:dyDescent="0.2">
      <c r="A22" s="7">
        <v>21</v>
      </c>
      <c r="B22" s="8" t="s">
        <v>26</v>
      </c>
      <c r="C22" s="9" t="s">
        <v>15</v>
      </c>
      <c r="D22" s="10">
        <v>36389</v>
      </c>
      <c r="E22" s="11">
        <v>8044117947</v>
      </c>
      <c r="F22" s="12">
        <v>28</v>
      </c>
      <c r="G22" s="4" t="s">
        <v>27</v>
      </c>
      <c r="H22" s="13">
        <v>521</v>
      </c>
      <c r="I22" s="14" t="s">
        <v>22</v>
      </c>
      <c r="J22" s="14" t="s">
        <v>23</v>
      </c>
      <c r="K22" s="14">
        <v>93</v>
      </c>
      <c r="L22" s="15">
        <v>30</v>
      </c>
      <c r="M22" s="15">
        <f t="shared" si="0"/>
        <v>2790</v>
      </c>
      <c r="N22" s="14" t="s">
        <v>25</v>
      </c>
    </row>
    <row r="23" spans="1:14" ht="16.5" customHeight="1" x14ac:dyDescent="0.2">
      <c r="A23" s="7">
        <v>22</v>
      </c>
      <c r="B23" s="8" t="s">
        <v>26</v>
      </c>
      <c r="C23" s="9" t="s">
        <v>15</v>
      </c>
      <c r="D23" s="10">
        <v>36398</v>
      </c>
      <c r="E23" s="11">
        <v>6420218020</v>
      </c>
      <c r="F23" s="12">
        <v>28</v>
      </c>
      <c r="G23" s="4" t="s">
        <v>27</v>
      </c>
      <c r="H23" s="13">
        <v>568</v>
      </c>
      <c r="I23" s="14" t="s">
        <v>28</v>
      </c>
      <c r="J23" s="14" t="s">
        <v>29</v>
      </c>
      <c r="K23" s="14">
        <v>20</v>
      </c>
      <c r="L23" s="15">
        <v>1</v>
      </c>
      <c r="M23" s="15">
        <f t="shared" si="0"/>
        <v>20</v>
      </c>
      <c r="N23" s="14" t="s">
        <v>30</v>
      </c>
    </row>
    <row r="24" spans="1:14" ht="16.5" customHeight="1" x14ac:dyDescent="0.2">
      <c r="A24" s="7">
        <v>23</v>
      </c>
      <c r="B24" s="8" t="s">
        <v>26</v>
      </c>
      <c r="C24" s="9" t="s">
        <v>15</v>
      </c>
      <c r="D24" s="10">
        <v>37316</v>
      </c>
      <c r="E24" s="11">
        <v>8044117947</v>
      </c>
      <c r="F24" s="12">
        <v>28</v>
      </c>
      <c r="G24" s="4" t="s">
        <v>27</v>
      </c>
      <c r="H24" s="13">
        <v>521</v>
      </c>
      <c r="I24" s="14" t="s">
        <v>22</v>
      </c>
      <c r="J24" s="14" t="s">
        <v>23</v>
      </c>
      <c r="K24" s="14">
        <v>24</v>
      </c>
      <c r="L24" s="15">
        <v>30</v>
      </c>
      <c r="M24" s="15">
        <f t="shared" si="0"/>
        <v>720</v>
      </c>
      <c r="N24" s="14" t="s">
        <v>25</v>
      </c>
    </row>
    <row r="25" spans="1:14" ht="16.5" customHeight="1" x14ac:dyDescent="0.2">
      <c r="A25" s="7">
        <v>24</v>
      </c>
      <c r="B25" s="8" t="s">
        <v>26</v>
      </c>
      <c r="C25" s="9" t="s">
        <v>15</v>
      </c>
      <c r="D25" s="10">
        <v>37325</v>
      </c>
      <c r="E25" s="11">
        <v>6420218020</v>
      </c>
      <c r="F25" s="12">
        <v>28</v>
      </c>
      <c r="G25" s="4" t="s">
        <v>27</v>
      </c>
      <c r="H25" s="13">
        <v>568</v>
      </c>
      <c r="I25" s="14" t="s">
        <v>28</v>
      </c>
      <c r="J25" s="14" t="s">
        <v>29</v>
      </c>
      <c r="K25" s="14">
        <v>59</v>
      </c>
      <c r="L25" s="15">
        <v>1</v>
      </c>
      <c r="M25" s="15">
        <f t="shared" si="0"/>
        <v>59</v>
      </c>
      <c r="N25" s="14" t="s">
        <v>30</v>
      </c>
    </row>
    <row r="26" spans="1:14" ht="16.5" customHeight="1" x14ac:dyDescent="0.2">
      <c r="A26" s="7">
        <v>25</v>
      </c>
      <c r="B26" s="8" t="s">
        <v>26</v>
      </c>
      <c r="C26" s="9" t="s">
        <v>15</v>
      </c>
      <c r="D26" s="10">
        <v>38243</v>
      </c>
      <c r="E26" s="11">
        <v>8044117947</v>
      </c>
      <c r="F26" s="12">
        <v>28</v>
      </c>
      <c r="G26" s="4" t="s">
        <v>27</v>
      </c>
      <c r="H26" s="13">
        <v>521</v>
      </c>
      <c r="I26" s="14" t="s">
        <v>22</v>
      </c>
      <c r="J26" s="14" t="s">
        <v>23</v>
      </c>
      <c r="K26" s="14">
        <v>41</v>
      </c>
      <c r="L26" s="15">
        <v>30</v>
      </c>
      <c r="M26" s="15">
        <f t="shared" si="0"/>
        <v>1230</v>
      </c>
      <c r="N26" s="14" t="s">
        <v>25</v>
      </c>
    </row>
    <row r="27" spans="1:14" ht="16.5" customHeight="1" x14ac:dyDescent="0.2">
      <c r="A27" s="7">
        <v>26</v>
      </c>
      <c r="B27" s="8" t="s">
        <v>26</v>
      </c>
      <c r="C27" s="9" t="s">
        <v>15</v>
      </c>
      <c r="D27" s="10">
        <v>38252</v>
      </c>
      <c r="E27" s="11">
        <v>6420218020</v>
      </c>
      <c r="F27" s="12">
        <v>28</v>
      </c>
      <c r="G27" s="4" t="s">
        <v>27</v>
      </c>
      <c r="H27" s="13">
        <v>568</v>
      </c>
      <c r="I27" s="14" t="s">
        <v>28</v>
      </c>
      <c r="J27" s="14" t="s">
        <v>29</v>
      </c>
      <c r="K27" s="14">
        <v>79</v>
      </c>
      <c r="L27" s="15">
        <v>1</v>
      </c>
      <c r="M27" s="15">
        <f t="shared" si="0"/>
        <v>79</v>
      </c>
      <c r="N27" s="14" t="s">
        <v>30</v>
      </c>
    </row>
    <row r="28" spans="1:14" ht="16.5" customHeight="1" x14ac:dyDescent="0.2">
      <c r="A28" s="7">
        <v>27</v>
      </c>
      <c r="B28" s="8" t="s">
        <v>26</v>
      </c>
      <c r="C28" s="9" t="s">
        <v>15</v>
      </c>
      <c r="D28" s="10">
        <v>39170</v>
      </c>
      <c r="E28" s="11">
        <v>8044117947</v>
      </c>
      <c r="F28" s="12">
        <v>28</v>
      </c>
      <c r="G28" s="4" t="s">
        <v>27</v>
      </c>
      <c r="H28" s="13">
        <v>521</v>
      </c>
      <c r="I28" s="14" t="s">
        <v>22</v>
      </c>
      <c r="J28" s="14" t="s">
        <v>23</v>
      </c>
      <c r="K28" s="14">
        <v>13</v>
      </c>
      <c r="L28" s="15">
        <v>30</v>
      </c>
      <c r="M28" s="15">
        <f t="shared" si="0"/>
        <v>390</v>
      </c>
      <c r="N28" s="14" t="s">
        <v>25</v>
      </c>
    </row>
    <row r="29" spans="1:14" ht="16.5" customHeight="1" x14ac:dyDescent="0.2">
      <c r="A29" s="7">
        <v>28</v>
      </c>
      <c r="B29" s="8" t="s">
        <v>26</v>
      </c>
      <c r="C29" s="9" t="s">
        <v>15</v>
      </c>
      <c r="D29" s="10">
        <v>39179</v>
      </c>
      <c r="E29" s="11">
        <v>6420218020</v>
      </c>
      <c r="F29" s="12">
        <v>28</v>
      </c>
      <c r="G29" s="4" t="s">
        <v>27</v>
      </c>
      <c r="H29" s="13">
        <v>568</v>
      </c>
      <c r="I29" s="14" t="s">
        <v>28</v>
      </c>
      <c r="J29" s="14" t="s">
        <v>29</v>
      </c>
      <c r="K29" s="14">
        <v>70</v>
      </c>
      <c r="L29" s="15">
        <v>1</v>
      </c>
      <c r="M29" s="15">
        <f t="shared" si="0"/>
        <v>70</v>
      </c>
      <c r="N29" s="14" t="s">
        <v>30</v>
      </c>
    </row>
    <row r="30" spans="1:14" ht="16.5" customHeight="1" x14ac:dyDescent="0.2">
      <c r="A30" s="7">
        <v>29</v>
      </c>
      <c r="B30" s="8" t="s">
        <v>26</v>
      </c>
      <c r="C30" s="9" t="s">
        <v>15</v>
      </c>
      <c r="D30" s="10">
        <v>40097</v>
      </c>
      <c r="E30" s="11">
        <v>8044117947</v>
      </c>
      <c r="F30" s="12">
        <v>28</v>
      </c>
      <c r="G30" s="4" t="s">
        <v>27</v>
      </c>
      <c r="H30" s="13">
        <v>521</v>
      </c>
      <c r="I30" s="14" t="s">
        <v>22</v>
      </c>
      <c r="J30" s="14" t="s">
        <v>23</v>
      </c>
      <c r="K30" s="14">
        <v>91</v>
      </c>
      <c r="L30" s="15">
        <v>30</v>
      </c>
      <c r="M30" s="15">
        <f t="shared" si="0"/>
        <v>2730</v>
      </c>
      <c r="N30" s="14" t="s">
        <v>25</v>
      </c>
    </row>
    <row r="31" spans="1:14" ht="16.5" customHeight="1" x14ac:dyDescent="0.2">
      <c r="A31" s="7">
        <v>30</v>
      </c>
      <c r="B31" s="8" t="s">
        <v>26</v>
      </c>
      <c r="C31" s="9" t="s">
        <v>15</v>
      </c>
      <c r="D31" s="10">
        <v>40106</v>
      </c>
      <c r="E31" s="11">
        <v>6420218020</v>
      </c>
      <c r="F31" s="12">
        <v>28</v>
      </c>
      <c r="G31" s="4" t="s">
        <v>27</v>
      </c>
      <c r="H31" s="13">
        <v>568</v>
      </c>
      <c r="I31" s="14" t="s">
        <v>28</v>
      </c>
      <c r="J31" s="14" t="s">
        <v>29</v>
      </c>
      <c r="K31" s="14">
        <v>42</v>
      </c>
      <c r="L31" s="15">
        <v>1</v>
      </c>
      <c r="M31" s="15">
        <f t="shared" si="0"/>
        <v>42</v>
      </c>
      <c r="N31" s="14" t="s">
        <v>30</v>
      </c>
    </row>
    <row r="32" spans="1:14" ht="16.5" customHeight="1" x14ac:dyDescent="0.2">
      <c r="A32" s="7">
        <v>31</v>
      </c>
      <c r="B32" s="8" t="s">
        <v>31</v>
      </c>
      <c r="C32" s="9" t="s">
        <v>15</v>
      </c>
      <c r="D32" s="10">
        <v>35363</v>
      </c>
      <c r="E32" s="11">
        <v>5829621805</v>
      </c>
      <c r="F32" s="12">
        <v>28</v>
      </c>
      <c r="G32" s="4" t="s">
        <v>27</v>
      </c>
      <c r="H32" s="13">
        <v>548</v>
      </c>
      <c r="I32" s="14" t="s">
        <v>24</v>
      </c>
      <c r="J32" s="14" t="s">
        <v>18</v>
      </c>
      <c r="K32" s="14">
        <v>18</v>
      </c>
      <c r="L32" s="15">
        <v>90</v>
      </c>
      <c r="M32" s="15">
        <f t="shared" si="0"/>
        <v>1620</v>
      </c>
      <c r="N32" s="14" t="s">
        <v>30</v>
      </c>
    </row>
    <row r="33" spans="1:14" ht="16.5" customHeight="1" x14ac:dyDescent="0.2">
      <c r="A33" s="7">
        <v>32</v>
      </c>
      <c r="B33" s="8" t="s">
        <v>31</v>
      </c>
      <c r="C33" s="9" t="s">
        <v>32</v>
      </c>
      <c r="D33" s="10">
        <v>36290</v>
      </c>
      <c r="E33" s="11">
        <v>5829621805</v>
      </c>
      <c r="F33" s="12">
        <v>28</v>
      </c>
      <c r="G33" s="4" t="s">
        <v>27</v>
      </c>
      <c r="H33" s="13">
        <v>548</v>
      </c>
      <c r="I33" s="14" t="s">
        <v>24</v>
      </c>
      <c r="J33" s="14" t="s">
        <v>18</v>
      </c>
      <c r="K33" s="14">
        <v>16</v>
      </c>
      <c r="L33" s="15">
        <v>90</v>
      </c>
      <c r="M33" s="15">
        <f t="shared" si="0"/>
        <v>1440</v>
      </c>
      <c r="N33" s="14" t="s">
        <v>30</v>
      </c>
    </row>
    <row r="34" spans="1:14" ht="16.5" customHeight="1" x14ac:dyDescent="0.2">
      <c r="A34" s="7">
        <v>33</v>
      </c>
      <c r="B34" s="8" t="s">
        <v>31</v>
      </c>
      <c r="C34" s="9" t="s">
        <v>15</v>
      </c>
      <c r="D34" s="10">
        <v>37217</v>
      </c>
      <c r="E34" s="11">
        <v>5829621805</v>
      </c>
      <c r="F34" s="12">
        <v>28</v>
      </c>
      <c r="G34" s="4" t="s">
        <v>27</v>
      </c>
      <c r="H34" s="13">
        <v>548</v>
      </c>
      <c r="I34" s="14" t="s">
        <v>24</v>
      </c>
      <c r="J34" s="14" t="s">
        <v>18</v>
      </c>
      <c r="K34" s="14">
        <v>63</v>
      </c>
      <c r="L34" s="15">
        <v>90</v>
      </c>
      <c r="M34" s="15">
        <f t="shared" si="0"/>
        <v>5670</v>
      </c>
      <c r="N34" s="14" t="s">
        <v>30</v>
      </c>
    </row>
    <row r="35" spans="1:14" ht="16.5" customHeight="1" x14ac:dyDescent="0.2">
      <c r="A35" s="7">
        <v>34</v>
      </c>
      <c r="B35" s="8" t="s">
        <v>31</v>
      </c>
      <c r="C35" s="9" t="s">
        <v>15</v>
      </c>
      <c r="D35" s="10">
        <v>38144</v>
      </c>
      <c r="E35" s="11">
        <v>5829621805</v>
      </c>
      <c r="F35" s="12">
        <v>28</v>
      </c>
      <c r="G35" s="4" t="s">
        <v>27</v>
      </c>
      <c r="H35" s="13">
        <v>548</v>
      </c>
      <c r="I35" s="14" t="s">
        <v>24</v>
      </c>
      <c r="J35" s="14" t="s">
        <v>18</v>
      </c>
      <c r="K35" s="14">
        <v>66</v>
      </c>
      <c r="L35" s="15">
        <v>90</v>
      </c>
      <c r="M35" s="15">
        <f t="shared" si="0"/>
        <v>5940</v>
      </c>
      <c r="N35" s="14" t="s">
        <v>30</v>
      </c>
    </row>
    <row r="36" spans="1:14" ht="16.5" customHeight="1" x14ac:dyDescent="0.2">
      <c r="A36" s="7">
        <v>35</v>
      </c>
      <c r="B36" s="8" t="s">
        <v>31</v>
      </c>
      <c r="C36" s="9" t="s">
        <v>15</v>
      </c>
      <c r="D36" s="10">
        <v>39071</v>
      </c>
      <c r="E36" s="11">
        <v>5829621805</v>
      </c>
      <c r="F36" s="12">
        <v>14</v>
      </c>
      <c r="G36" s="4" t="s">
        <v>16</v>
      </c>
      <c r="H36" s="13">
        <v>548</v>
      </c>
      <c r="I36" s="14" t="s">
        <v>24</v>
      </c>
      <c r="J36" s="14" t="s">
        <v>18</v>
      </c>
      <c r="K36" s="14">
        <v>25</v>
      </c>
      <c r="L36" s="15">
        <v>90</v>
      </c>
      <c r="M36" s="15">
        <f t="shared" si="0"/>
        <v>2250</v>
      </c>
      <c r="N36" s="14" t="s">
        <v>30</v>
      </c>
    </row>
    <row r="37" spans="1:14" ht="16.5" customHeight="1" x14ac:dyDescent="0.2">
      <c r="A37" s="7">
        <v>36</v>
      </c>
      <c r="B37" s="8" t="s">
        <v>31</v>
      </c>
      <c r="C37" s="9" t="s">
        <v>15</v>
      </c>
      <c r="D37" s="10">
        <v>39998</v>
      </c>
      <c r="E37" s="11">
        <v>5829621805</v>
      </c>
      <c r="F37" s="12">
        <v>14</v>
      </c>
      <c r="G37" s="4" t="s">
        <v>16</v>
      </c>
      <c r="H37" s="13">
        <v>548</v>
      </c>
      <c r="I37" s="14" t="s">
        <v>24</v>
      </c>
      <c r="J37" s="14" t="s">
        <v>18</v>
      </c>
      <c r="K37" s="14">
        <v>33</v>
      </c>
      <c r="L37" s="15">
        <v>90</v>
      </c>
      <c r="M37" s="15">
        <f t="shared" si="0"/>
        <v>2970</v>
      </c>
      <c r="N37" s="14" t="s">
        <v>30</v>
      </c>
    </row>
    <row r="38" spans="1:14" ht="16.5" customHeight="1" x14ac:dyDescent="0.2">
      <c r="A38" s="7">
        <v>37</v>
      </c>
      <c r="B38" s="8" t="s">
        <v>33</v>
      </c>
      <c r="C38" s="9" t="s">
        <v>15</v>
      </c>
      <c r="D38" s="10">
        <v>35021</v>
      </c>
      <c r="E38" s="11">
        <v>7451775707</v>
      </c>
      <c r="F38" s="12">
        <v>14</v>
      </c>
      <c r="G38" s="4" t="s">
        <v>16</v>
      </c>
      <c r="H38" s="13">
        <v>299</v>
      </c>
      <c r="I38" s="14" t="s">
        <v>28</v>
      </c>
      <c r="J38" s="14" t="s">
        <v>29</v>
      </c>
      <c r="K38" s="14">
        <v>73</v>
      </c>
      <c r="L38" s="15">
        <v>2</v>
      </c>
      <c r="M38" s="15">
        <f t="shared" si="0"/>
        <v>146</v>
      </c>
      <c r="N38" s="14" t="s">
        <v>25</v>
      </c>
    </row>
    <row r="39" spans="1:14" ht="16.5" customHeight="1" x14ac:dyDescent="0.2">
      <c r="A39" s="7">
        <v>38</v>
      </c>
      <c r="B39" s="8" t="s">
        <v>33</v>
      </c>
      <c r="C39" s="9" t="s">
        <v>34</v>
      </c>
      <c r="D39" s="10">
        <v>35948</v>
      </c>
      <c r="E39" s="11">
        <v>7451775707</v>
      </c>
      <c r="F39" s="12">
        <v>14</v>
      </c>
      <c r="G39" s="4" t="s">
        <v>16</v>
      </c>
      <c r="H39" s="13">
        <v>299</v>
      </c>
      <c r="I39" s="14" t="s">
        <v>28</v>
      </c>
      <c r="J39" s="14" t="s">
        <v>29</v>
      </c>
      <c r="K39" s="14">
        <v>87</v>
      </c>
      <c r="L39" s="15">
        <v>2</v>
      </c>
      <c r="M39" s="15">
        <f t="shared" si="0"/>
        <v>174</v>
      </c>
      <c r="N39" s="14" t="s">
        <v>25</v>
      </c>
    </row>
    <row r="40" spans="1:14" ht="16.5" customHeight="1" x14ac:dyDescent="0.2">
      <c r="A40" s="7">
        <v>39</v>
      </c>
      <c r="B40" s="8" t="s">
        <v>33</v>
      </c>
      <c r="C40" s="9" t="s">
        <v>34</v>
      </c>
      <c r="D40" s="10">
        <v>36875</v>
      </c>
      <c r="E40" s="11">
        <v>7451775707</v>
      </c>
      <c r="F40" s="12">
        <v>14</v>
      </c>
      <c r="G40" s="4" t="s">
        <v>16</v>
      </c>
      <c r="H40" s="13">
        <v>299</v>
      </c>
      <c r="I40" s="14" t="s">
        <v>28</v>
      </c>
      <c r="J40" s="14" t="s">
        <v>29</v>
      </c>
      <c r="K40" s="14">
        <v>57</v>
      </c>
      <c r="L40" s="15">
        <v>2</v>
      </c>
      <c r="M40" s="15">
        <f t="shared" si="0"/>
        <v>114</v>
      </c>
      <c r="N40" s="14" t="s">
        <v>25</v>
      </c>
    </row>
    <row r="41" spans="1:14" ht="16.5" customHeight="1" x14ac:dyDescent="0.2">
      <c r="A41" s="7">
        <v>40</v>
      </c>
      <c r="B41" s="8" t="s">
        <v>33</v>
      </c>
      <c r="C41" s="9" t="s">
        <v>34</v>
      </c>
      <c r="D41" s="10">
        <v>37802</v>
      </c>
      <c r="E41" s="11">
        <v>7451775707</v>
      </c>
      <c r="F41" s="12">
        <v>14</v>
      </c>
      <c r="G41" s="4" t="s">
        <v>16</v>
      </c>
      <c r="H41" s="13">
        <v>299</v>
      </c>
      <c r="I41" s="14" t="s">
        <v>28</v>
      </c>
      <c r="J41" s="14" t="s">
        <v>29</v>
      </c>
      <c r="K41" s="14">
        <v>38</v>
      </c>
      <c r="L41" s="15">
        <v>2</v>
      </c>
      <c r="M41" s="15">
        <f t="shared" si="0"/>
        <v>76</v>
      </c>
      <c r="N41" s="14" t="s">
        <v>25</v>
      </c>
    </row>
    <row r="42" spans="1:14" ht="16.5" customHeight="1" x14ac:dyDescent="0.2">
      <c r="A42" s="7">
        <v>41</v>
      </c>
      <c r="B42" s="8" t="s">
        <v>33</v>
      </c>
      <c r="C42" s="9" t="s">
        <v>34</v>
      </c>
      <c r="D42" s="10">
        <v>38729</v>
      </c>
      <c r="E42" s="11">
        <v>7451775707</v>
      </c>
      <c r="F42" s="12">
        <v>14</v>
      </c>
      <c r="G42" s="4" t="s">
        <v>16</v>
      </c>
      <c r="H42" s="13">
        <v>299</v>
      </c>
      <c r="I42" s="14" t="s">
        <v>28</v>
      </c>
      <c r="J42" s="14" t="s">
        <v>29</v>
      </c>
      <c r="K42" s="14">
        <v>42</v>
      </c>
      <c r="L42" s="15">
        <v>2</v>
      </c>
      <c r="M42" s="15">
        <f t="shared" si="0"/>
        <v>84</v>
      </c>
      <c r="N42" s="14" t="s">
        <v>25</v>
      </c>
    </row>
    <row r="43" spans="1:14" ht="16.5" customHeight="1" x14ac:dyDescent="0.2">
      <c r="A43" s="7">
        <v>42</v>
      </c>
      <c r="B43" s="8" t="s">
        <v>33</v>
      </c>
      <c r="C43" s="9" t="s">
        <v>34</v>
      </c>
      <c r="D43" s="10">
        <v>39656</v>
      </c>
      <c r="E43" s="11">
        <v>7451775707</v>
      </c>
      <c r="F43" s="12">
        <v>14</v>
      </c>
      <c r="G43" s="4" t="s">
        <v>16</v>
      </c>
      <c r="H43" s="13">
        <v>299</v>
      </c>
      <c r="I43" s="14" t="s">
        <v>28</v>
      </c>
      <c r="J43" s="14" t="s">
        <v>29</v>
      </c>
      <c r="K43" s="14">
        <v>49</v>
      </c>
      <c r="L43" s="15">
        <v>2</v>
      </c>
      <c r="M43" s="15">
        <f t="shared" si="0"/>
        <v>98</v>
      </c>
      <c r="N43" s="14" t="s">
        <v>25</v>
      </c>
    </row>
    <row r="44" spans="1:14" ht="16.5" customHeight="1" x14ac:dyDescent="0.2">
      <c r="A44" s="7">
        <v>43</v>
      </c>
      <c r="B44" s="8" t="s">
        <v>35</v>
      </c>
      <c r="C44" s="9" t="s">
        <v>34</v>
      </c>
      <c r="D44" s="10">
        <v>35534</v>
      </c>
      <c r="E44" s="11">
        <v>4998051720</v>
      </c>
      <c r="F44" s="12">
        <v>14</v>
      </c>
      <c r="G44" s="4" t="s">
        <v>16</v>
      </c>
      <c r="H44" s="13">
        <v>195</v>
      </c>
      <c r="I44" s="14" t="s">
        <v>36</v>
      </c>
      <c r="J44" s="14" t="s">
        <v>18</v>
      </c>
      <c r="K44" s="14">
        <v>24</v>
      </c>
      <c r="L44" s="15">
        <v>60</v>
      </c>
      <c r="M44" s="15">
        <f t="shared" si="0"/>
        <v>1440</v>
      </c>
      <c r="N44" s="14" t="s">
        <v>25</v>
      </c>
    </row>
    <row r="45" spans="1:14" ht="16.5" customHeight="1" x14ac:dyDescent="0.2">
      <c r="A45" s="7">
        <v>44</v>
      </c>
      <c r="B45" s="8" t="s">
        <v>35</v>
      </c>
      <c r="C45" s="9" t="s">
        <v>34</v>
      </c>
      <c r="D45" s="10">
        <v>35543</v>
      </c>
      <c r="E45" s="11">
        <v>576249390</v>
      </c>
      <c r="F45" s="12">
        <v>14</v>
      </c>
      <c r="G45" s="4" t="s">
        <v>16</v>
      </c>
      <c r="H45" s="13">
        <v>548</v>
      </c>
      <c r="I45" s="14" t="s">
        <v>24</v>
      </c>
      <c r="J45" s="14" t="s">
        <v>18</v>
      </c>
      <c r="K45" s="14">
        <v>49</v>
      </c>
      <c r="L45" s="15">
        <v>90</v>
      </c>
      <c r="M45" s="15">
        <f t="shared" si="0"/>
        <v>4410</v>
      </c>
      <c r="N45" s="16" t="s">
        <v>19</v>
      </c>
    </row>
    <row r="46" spans="1:14" ht="16.5" customHeight="1" x14ac:dyDescent="0.2">
      <c r="A46" s="7">
        <v>45</v>
      </c>
      <c r="B46" s="8" t="s">
        <v>35</v>
      </c>
      <c r="C46" s="9" t="s">
        <v>34</v>
      </c>
      <c r="D46" s="10">
        <v>35552</v>
      </c>
      <c r="E46" s="11">
        <v>8802618951</v>
      </c>
      <c r="F46" s="12">
        <v>14</v>
      </c>
      <c r="G46" s="4" t="s">
        <v>16</v>
      </c>
      <c r="H46" s="13">
        <v>534</v>
      </c>
      <c r="I46" s="14" t="s">
        <v>17</v>
      </c>
      <c r="J46" s="14" t="s">
        <v>18</v>
      </c>
      <c r="K46" s="14">
        <v>75</v>
      </c>
      <c r="L46" s="15">
        <v>25</v>
      </c>
      <c r="M46" s="15">
        <f t="shared" si="0"/>
        <v>1875</v>
      </c>
      <c r="N46" s="14" t="s">
        <v>25</v>
      </c>
    </row>
    <row r="47" spans="1:14" ht="16.5" customHeight="1" x14ac:dyDescent="0.2">
      <c r="A47" s="7">
        <v>46</v>
      </c>
      <c r="B47" s="8" t="s">
        <v>35</v>
      </c>
      <c r="C47" s="9" t="s">
        <v>34</v>
      </c>
      <c r="D47" s="10">
        <v>36461</v>
      </c>
      <c r="E47" s="11">
        <v>4998051720</v>
      </c>
      <c r="F47" s="12">
        <v>14</v>
      </c>
      <c r="G47" s="4" t="s">
        <v>16</v>
      </c>
      <c r="H47" s="13">
        <v>195</v>
      </c>
      <c r="I47" s="14" t="s">
        <v>36</v>
      </c>
      <c r="J47" s="14" t="s">
        <v>18</v>
      </c>
      <c r="K47" s="14">
        <v>47</v>
      </c>
      <c r="L47" s="15">
        <v>60</v>
      </c>
      <c r="M47" s="15">
        <f t="shared" si="0"/>
        <v>2820</v>
      </c>
      <c r="N47" s="14" t="s">
        <v>25</v>
      </c>
    </row>
    <row r="48" spans="1:14" ht="16.5" customHeight="1" x14ac:dyDescent="0.2">
      <c r="A48" s="7">
        <v>47</v>
      </c>
      <c r="B48" s="8" t="s">
        <v>35</v>
      </c>
      <c r="C48" s="9" t="s">
        <v>15</v>
      </c>
      <c r="D48" s="10">
        <v>36470</v>
      </c>
      <c r="E48" s="11">
        <v>576249390</v>
      </c>
      <c r="F48" s="12">
        <v>14</v>
      </c>
      <c r="G48" s="4" t="s">
        <v>16</v>
      </c>
      <c r="H48" s="13">
        <v>548</v>
      </c>
      <c r="I48" s="14" t="s">
        <v>24</v>
      </c>
      <c r="J48" s="14" t="s">
        <v>18</v>
      </c>
      <c r="K48" s="14">
        <v>50</v>
      </c>
      <c r="L48" s="15">
        <v>90</v>
      </c>
      <c r="M48" s="15">
        <f t="shared" si="0"/>
        <v>4500</v>
      </c>
      <c r="N48" s="16" t="s">
        <v>19</v>
      </c>
    </row>
    <row r="49" spans="1:14" ht="16.5" customHeight="1" x14ac:dyDescent="0.2">
      <c r="A49" s="7">
        <v>48</v>
      </c>
      <c r="B49" s="8" t="s">
        <v>35</v>
      </c>
      <c r="C49" s="9" t="s">
        <v>15</v>
      </c>
      <c r="D49" s="10">
        <v>36479</v>
      </c>
      <c r="E49" s="11">
        <v>8802618951</v>
      </c>
      <c r="F49" s="12">
        <v>14</v>
      </c>
      <c r="G49" s="4" t="s">
        <v>16</v>
      </c>
      <c r="H49" s="13">
        <v>534</v>
      </c>
      <c r="I49" s="14" t="s">
        <v>17</v>
      </c>
      <c r="J49" s="14" t="s">
        <v>18</v>
      </c>
      <c r="K49" s="14">
        <v>25</v>
      </c>
      <c r="L49" s="15">
        <v>25</v>
      </c>
      <c r="M49" s="15">
        <f t="shared" si="0"/>
        <v>625</v>
      </c>
      <c r="N49" s="14" t="s">
        <v>25</v>
      </c>
    </row>
    <row r="50" spans="1:14" ht="16.5" customHeight="1" x14ac:dyDescent="0.2">
      <c r="A50" s="7">
        <v>49</v>
      </c>
      <c r="B50" s="8" t="s">
        <v>35</v>
      </c>
      <c r="C50" s="9" t="s">
        <v>15</v>
      </c>
      <c r="D50" s="10">
        <v>37388</v>
      </c>
      <c r="E50" s="11">
        <v>4998051720</v>
      </c>
      <c r="F50" s="12">
        <v>14</v>
      </c>
      <c r="G50" s="4" t="s">
        <v>16</v>
      </c>
      <c r="H50" s="13">
        <v>195</v>
      </c>
      <c r="I50" s="14" t="s">
        <v>36</v>
      </c>
      <c r="J50" s="14" t="s">
        <v>18</v>
      </c>
      <c r="K50" s="14">
        <v>42</v>
      </c>
      <c r="L50" s="15">
        <v>60</v>
      </c>
      <c r="M50" s="15">
        <f t="shared" si="0"/>
        <v>2520</v>
      </c>
      <c r="N50" s="14" t="s">
        <v>25</v>
      </c>
    </row>
    <row r="51" spans="1:14" ht="16.5" customHeight="1" x14ac:dyDescent="0.2">
      <c r="A51" s="7">
        <v>50</v>
      </c>
      <c r="B51" s="8" t="s">
        <v>35</v>
      </c>
      <c r="C51" s="9" t="s">
        <v>15</v>
      </c>
      <c r="D51" s="10">
        <v>37397</v>
      </c>
      <c r="E51" s="11">
        <v>576249390</v>
      </c>
      <c r="F51" s="12">
        <v>14</v>
      </c>
      <c r="G51" s="4" t="s">
        <v>16</v>
      </c>
      <c r="H51" s="13">
        <v>548</v>
      </c>
      <c r="I51" s="14" t="s">
        <v>24</v>
      </c>
      <c r="J51" s="14" t="s">
        <v>18</v>
      </c>
      <c r="K51" s="14">
        <v>36</v>
      </c>
      <c r="L51" s="15">
        <v>90</v>
      </c>
      <c r="M51" s="15">
        <f t="shared" si="0"/>
        <v>3240</v>
      </c>
      <c r="N51" s="16" t="s">
        <v>19</v>
      </c>
    </row>
    <row r="52" spans="1:14" ht="16.5" customHeight="1" x14ac:dyDescent="0.2">
      <c r="A52" s="7">
        <v>51</v>
      </c>
      <c r="B52" s="8" t="s">
        <v>35</v>
      </c>
      <c r="C52" s="9" t="s">
        <v>15</v>
      </c>
      <c r="D52" s="10">
        <v>37406</v>
      </c>
      <c r="E52" s="11">
        <v>8802618951</v>
      </c>
      <c r="F52" s="12">
        <v>28</v>
      </c>
      <c r="G52" s="4" t="s">
        <v>27</v>
      </c>
      <c r="H52" s="13">
        <v>534</v>
      </c>
      <c r="I52" s="14" t="s">
        <v>17</v>
      </c>
      <c r="J52" s="14" t="s">
        <v>18</v>
      </c>
      <c r="K52" s="14">
        <v>46</v>
      </c>
      <c r="L52" s="15">
        <v>25</v>
      </c>
      <c r="M52" s="15">
        <f t="shared" si="0"/>
        <v>1150</v>
      </c>
      <c r="N52" s="14" t="s">
        <v>25</v>
      </c>
    </row>
    <row r="53" spans="1:14" ht="16.5" customHeight="1" x14ac:dyDescent="0.2">
      <c r="A53" s="7">
        <v>52</v>
      </c>
      <c r="B53" s="8" t="s">
        <v>35</v>
      </c>
      <c r="C53" s="9" t="s">
        <v>15</v>
      </c>
      <c r="D53" s="10">
        <v>38315</v>
      </c>
      <c r="E53" s="11">
        <v>4998051720</v>
      </c>
      <c r="F53" s="12">
        <v>28</v>
      </c>
      <c r="G53" s="4" t="s">
        <v>27</v>
      </c>
      <c r="H53" s="13">
        <v>195</v>
      </c>
      <c r="I53" s="14" t="s">
        <v>36</v>
      </c>
      <c r="J53" s="14" t="s">
        <v>18</v>
      </c>
      <c r="K53" s="14">
        <v>41</v>
      </c>
      <c r="L53" s="15">
        <v>60</v>
      </c>
      <c r="M53" s="15">
        <f t="shared" si="0"/>
        <v>2460</v>
      </c>
      <c r="N53" s="14" t="s">
        <v>25</v>
      </c>
    </row>
    <row r="54" spans="1:14" ht="16.5" customHeight="1" x14ac:dyDescent="0.2">
      <c r="A54" s="7">
        <v>53</v>
      </c>
      <c r="B54" s="8" t="s">
        <v>35</v>
      </c>
      <c r="C54" s="9" t="s">
        <v>15</v>
      </c>
      <c r="D54" s="10">
        <v>38324</v>
      </c>
      <c r="E54" s="11">
        <v>576249390</v>
      </c>
      <c r="F54" s="12">
        <v>28</v>
      </c>
      <c r="G54" s="4" t="s">
        <v>27</v>
      </c>
      <c r="H54" s="13">
        <v>548</v>
      </c>
      <c r="I54" s="14" t="s">
        <v>24</v>
      </c>
      <c r="J54" s="14" t="s">
        <v>18</v>
      </c>
      <c r="K54" s="14">
        <v>95</v>
      </c>
      <c r="L54" s="15">
        <v>90</v>
      </c>
      <c r="M54" s="15">
        <f t="shared" si="0"/>
        <v>8550</v>
      </c>
      <c r="N54" s="16" t="s">
        <v>19</v>
      </c>
    </row>
    <row r="55" spans="1:14" ht="16.5" customHeight="1" x14ac:dyDescent="0.2">
      <c r="A55" s="7">
        <v>54</v>
      </c>
      <c r="B55" s="8" t="s">
        <v>35</v>
      </c>
      <c r="C55" s="9" t="s">
        <v>15</v>
      </c>
      <c r="D55" s="10">
        <v>38333</v>
      </c>
      <c r="E55" s="11">
        <v>8802618951</v>
      </c>
      <c r="F55" s="12">
        <v>28</v>
      </c>
      <c r="G55" s="4" t="s">
        <v>27</v>
      </c>
      <c r="H55" s="13">
        <v>534</v>
      </c>
      <c r="I55" s="14" t="s">
        <v>17</v>
      </c>
      <c r="J55" s="14" t="s">
        <v>18</v>
      </c>
      <c r="K55" s="14">
        <v>58</v>
      </c>
      <c r="L55" s="15">
        <v>25</v>
      </c>
      <c r="M55" s="15">
        <f t="shared" si="0"/>
        <v>1450</v>
      </c>
      <c r="N55" s="14" t="s">
        <v>25</v>
      </c>
    </row>
    <row r="56" spans="1:14" ht="16.5" customHeight="1" x14ac:dyDescent="0.2">
      <c r="A56" s="7">
        <v>55</v>
      </c>
      <c r="B56" s="8" t="s">
        <v>35</v>
      </c>
      <c r="C56" s="9" t="s">
        <v>15</v>
      </c>
      <c r="D56" s="10">
        <v>39242</v>
      </c>
      <c r="E56" s="11">
        <v>4998051720</v>
      </c>
      <c r="F56" s="12">
        <v>28</v>
      </c>
      <c r="G56" s="4" t="s">
        <v>27</v>
      </c>
      <c r="H56" s="13">
        <v>195</v>
      </c>
      <c r="I56" s="14" t="s">
        <v>36</v>
      </c>
      <c r="J56" s="14" t="s">
        <v>18</v>
      </c>
      <c r="K56" s="14">
        <v>45</v>
      </c>
      <c r="L56" s="15">
        <v>60</v>
      </c>
      <c r="M56" s="15">
        <f t="shared" si="0"/>
        <v>2700</v>
      </c>
      <c r="N56" s="14" t="s">
        <v>25</v>
      </c>
    </row>
    <row r="57" spans="1:14" ht="16.5" customHeight="1" x14ac:dyDescent="0.2">
      <c r="A57" s="7">
        <v>56</v>
      </c>
      <c r="B57" s="8" t="s">
        <v>35</v>
      </c>
      <c r="C57" s="9" t="s">
        <v>15</v>
      </c>
      <c r="D57" s="10">
        <v>39251</v>
      </c>
      <c r="E57" s="11">
        <v>576249390</v>
      </c>
      <c r="F57" s="12">
        <v>28</v>
      </c>
      <c r="G57" s="4" t="s">
        <v>27</v>
      </c>
      <c r="H57" s="13">
        <v>548</v>
      </c>
      <c r="I57" s="14" t="s">
        <v>24</v>
      </c>
      <c r="J57" s="14" t="s">
        <v>18</v>
      </c>
      <c r="K57" s="14">
        <v>42</v>
      </c>
      <c r="L57" s="15">
        <v>90</v>
      </c>
      <c r="M57" s="15">
        <f t="shared" si="0"/>
        <v>3780</v>
      </c>
      <c r="N57" s="16" t="s">
        <v>19</v>
      </c>
    </row>
    <row r="58" spans="1:14" ht="16.5" customHeight="1" x14ac:dyDescent="0.2">
      <c r="A58" s="7">
        <v>57</v>
      </c>
      <c r="B58" s="8" t="s">
        <v>35</v>
      </c>
      <c r="C58" s="9" t="s">
        <v>15</v>
      </c>
      <c r="D58" s="10">
        <v>39260</v>
      </c>
      <c r="E58" s="11">
        <v>8802618951</v>
      </c>
      <c r="F58" s="12">
        <v>28</v>
      </c>
      <c r="G58" s="4" t="s">
        <v>27</v>
      </c>
      <c r="H58" s="13">
        <v>534</v>
      </c>
      <c r="I58" s="14" t="s">
        <v>17</v>
      </c>
      <c r="J58" s="14" t="s">
        <v>18</v>
      </c>
      <c r="K58" s="14">
        <v>92</v>
      </c>
      <c r="L58" s="15">
        <v>25</v>
      </c>
      <c r="M58" s="15">
        <f t="shared" si="0"/>
        <v>2300</v>
      </c>
      <c r="N58" s="14" t="s">
        <v>25</v>
      </c>
    </row>
    <row r="59" spans="1:14" ht="16.5" customHeight="1" x14ac:dyDescent="0.2">
      <c r="A59" s="7">
        <v>58</v>
      </c>
      <c r="B59" s="8" t="s">
        <v>35</v>
      </c>
      <c r="C59" s="9" t="s">
        <v>15</v>
      </c>
      <c r="D59" s="10">
        <v>40169</v>
      </c>
      <c r="E59" s="11">
        <v>4998051720</v>
      </c>
      <c r="F59" s="12">
        <v>28</v>
      </c>
      <c r="G59" s="4" t="s">
        <v>27</v>
      </c>
      <c r="H59" s="13">
        <v>195</v>
      </c>
      <c r="I59" s="14" t="s">
        <v>36</v>
      </c>
      <c r="J59" s="14" t="s">
        <v>18</v>
      </c>
      <c r="K59" s="14">
        <v>46</v>
      </c>
      <c r="L59" s="15">
        <v>60</v>
      </c>
      <c r="M59" s="15">
        <f t="shared" si="0"/>
        <v>2760</v>
      </c>
      <c r="N59" s="14" t="s">
        <v>25</v>
      </c>
    </row>
    <row r="60" spans="1:14" ht="16.5" customHeight="1" x14ac:dyDescent="0.2">
      <c r="A60" s="7">
        <v>59</v>
      </c>
      <c r="B60" s="8" t="s">
        <v>35</v>
      </c>
      <c r="C60" s="9" t="s">
        <v>15</v>
      </c>
      <c r="D60" s="10">
        <v>40178</v>
      </c>
      <c r="E60" s="11">
        <v>576249390</v>
      </c>
      <c r="F60" s="12">
        <v>28</v>
      </c>
      <c r="G60" s="4" t="s">
        <v>27</v>
      </c>
      <c r="H60" s="13">
        <v>548</v>
      </c>
      <c r="I60" s="14" t="s">
        <v>24</v>
      </c>
      <c r="J60" s="14" t="s">
        <v>18</v>
      </c>
      <c r="K60" s="14">
        <v>43</v>
      </c>
      <c r="L60" s="15">
        <v>90</v>
      </c>
      <c r="M60" s="15">
        <f t="shared" si="0"/>
        <v>3870</v>
      </c>
      <c r="N60" s="16" t="s">
        <v>19</v>
      </c>
    </row>
    <row r="61" spans="1:14" ht="16.5" customHeight="1" x14ac:dyDescent="0.2">
      <c r="A61" s="7">
        <v>60</v>
      </c>
      <c r="B61" s="8" t="s">
        <v>35</v>
      </c>
      <c r="C61" s="9" t="s">
        <v>15</v>
      </c>
      <c r="D61" s="10">
        <v>40187</v>
      </c>
      <c r="E61" s="11">
        <v>8802618951</v>
      </c>
      <c r="F61" s="12">
        <v>28</v>
      </c>
      <c r="G61" s="4" t="s">
        <v>27</v>
      </c>
      <c r="H61" s="13">
        <v>534</v>
      </c>
      <c r="I61" s="14" t="s">
        <v>17</v>
      </c>
      <c r="J61" s="14" t="s">
        <v>18</v>
      </c>
      <c r="K61" s="14">
        <v>49</v>
      </c>
      <c r="L61" s="15">
        <v>25</v>
      </c>
      <c r="M61" s="15">
        <f t="shared" si="0"/>
        <v>1225</v>
      </c>
      <c r="N61" s="14" t="s">
        <v>25</v>
      </c>
    </row>
    <row r="62" spans="1:14" ht="16.5" customHeight="1" x14ac:dyDescent="0.2">
      <c r="A62" s="7">
        <v>61</v>
      </c>
      <c r="B62" s="8" t="s">
        <v>37</v>
      </c>
      <c r="C62" s="9" t="s">
        <v>15</v>
      </c>
      <c r="D62" s="10">
        <v>35039</v>
      </c>
      <c r="E62" s="11">
        <v>705806132</v>
      </c>
      <c r="F62" s="12">
        <v>28</v>
      </c>
      <c r="G62" s="4" t="s">
        <v>27</v>
      </c>
      <c r="H62" s="13">
        <v>454</v>
      </c>
      <c r="I62" s="14" t="s">
        <v>38</v>
      </c>
      <c r="J62" s="14" t="s">
        <v>18</v>
      </c>
      <c r="K62" s="14">
        <v>68</v>
      </c>
      <c r="L62" s="15">
        <v>15</v>
      </c>
      <c r="M62" s="15">
        <f t="shared" si="0"/>
        <v>1020</v>
      </c>
      <c r="N62" s="14" t="s">
        <v>30</v>
      </c>
    </row>
    <row r="63" spans="1:14" ht="16.5" customHeight="1" x14ac:dyDescent="0.2">
      <c r="A63" s="7">
        <v>62</v>
      </c>
      <c r="B63" s="8" t="s">
        <v>37</v>
      </c>
      <c r="C63" s="9" t="s">
        <v>15</v>
      </c>
      <c r="D63" s="10">
        <v>35048</v>
      </c>
      <c r="E63" s="11">
        <v>2368948815</v>
      </c>
      <c r="F63" s="12">
        <v>28</v>
      </c>
      <c r="G63" s="4" t="s">
        <v>27</v>
      </c>
      <c r="H63" s="13">
        <v>299</v>
      </c>
      <c r="I63" s="14" t="s">
        <v>28</v>
      </c>
      <c r="J63" s="14" t="s">
        <v>29</v>
      </c>
      <c r="K63" s="14">
        <v>69</v>
      </c>
      <c r="L63" s="15">
        <v>2</v>
      </c>
      <c r="M63" s="15">
        <f t="shared" si="0"/>
        <v>138</v>
      </c>
      <c r="N63" s="14" t="s">
        <v>30</v>
      </c>
    </row>
    <row r="64" spans="1:14" ht="16.5" customHeight="1" x14ac:dyDescent="0.2">
      <c r="A64" s="7">
        <v>63</v>
      </c>
      <c r="B64" s="8" t="s">
        <v>37</v>
      </c>
      <c r="C64" s="9" t="s">
        <v>15</v>
      </c>
      <c r="D64" s="10">
        <v>35057</v>
      </c>
      <c r="E64" s="11">
        <v>9156246307</v>
      </c>
      <c r="F64" s="12">
        <v>28</v>
      </c>
      <c r="G64" s="4" t="s">
        <v>27</v>
      </c>
      <c r="H64" s="13">
        <v>807</v>
      </c>
      <c r="I64" s="14" t="s">
        <v>17</v>
      </c>
      <c r="J64" s="14" t="s">
        <v>18</v>
      </c>
      <c r="K64" s="14">
        <v>35</v>
      </c>
      <c r="L64" s="15">
        <v>25</v>
      </c>
      <c r="M64" s="15">
        <f t="shared" si="0"/>
        <v>875</v>
      </c>
      <c r="N64" s="14" t="s">
        <v>25</v>
      </c>
    </row>
    <row r="65" spans="1:14" ht="16.5" customHeight="1" x14ac:dyDescent="0.2">
      <c r="A65" s="7">
        <v>64</v>
      </c>
      <c r="B65" s="8" t="s">
        <v>37</v>
      </c>
      <c r="C65" s="9" t="s">
        <v>15</v>
      </c>
      <c r="D65" s="10">
        <v>35084</v>
      </c>
      <c r="E65" s="11">
        <v>5440195984</v>
      </c>
      <c r="F65" s="12">
        <v>28</v>
      </c>
      <c r="G65" s="4" t="s">
        <v>27</v>
      </c>
      <c r="H65" s="13">
        <v>359</v>
      </c>
      <c r="I65" s="14" t="s">
        <v>17</v>
      </c>
      <c r="J65" s="14" t="s">
        <v>18</v>
      </c>
      <c r="K65" s="14">
        <v>92</v>
      </c>
      <c r="L65" s="15">
        <v>25</v>
      </c>
      <c r="M65" s="15">
        <f t="shared" si="0"/>
        <v>2300</v>
      </c>
      <c r="N65" s="16" t="s">
        <v>19</v>
      </c>
    </row>
    <row r="66" spans="1:14" ht="16.5" customHeight="1" x14ac:dyDescent="0.2">
      <c r="A66" s="7">
        <v>65</v>
      </c>
      <c r="B66" s="8" t="s">
        <v>37</v>
      </c>
      <c r="C66" s="9" t="s">
        <v>15</v>
      </c>
      <c r="D66" s="10">
        <v>35093</v>
      </c>
      <c r="E66" s="11">
        <v>8833880376</v>
      </c>
      <c r="F66" s="12">
        <v>28</v>
      </c>
      <c r="G66" s="4" t="s">
        <v>27</v>
      </c>
      <c r="H66" s="13">
        <v>240</v>
      </c>
      <c r="I66" s="14" t="s">
        <v>17</v>
      </c>
      <c r="J66" s="14" t="s">
        <v>18</v>
      </c>
      <c r="K66" s="14">
        <v>66</v>
      </c>
      <c r="L66" s="15">
        <v>45</v>
      </c>
      <c r="M66" s="15">
        <f t="shared" ref="M66:M129" si="1">L66*K66</f>
        <v>2970</v>
      </c>
      <c r="N66" s="14" t="s">
        <v>30</v>
      </c>
    </row>
    <row r="67" spans="1:14" ht="16.5" customHeight="1" x14ac:dyDescent="0.2">
      <c r="A67" s="7">
        <v>66</v>
      </c>
      <c r="B67" s="8" t="s">
        <v>37</v>
      </c>
      <c r="C67" s="9" t="s">
        <v>15</v>
      </c>
      <c r="D67" s="10">
        <v>35111</v>
      </c>
      <c r="E67" s="11">
        <v>9814911035</v>
      </c>
      <c r="F67" s="12">
        <v>14</v>
      </c>
      <c r="G67" s="4" t="s">
        <v>16</v>
      </c>
      <c r="H67" s="13">
        <v>521</v>
      </c>
      <c r="I67" s="14" t="s">
        <v>22</v>
      </c>
      <c r="J67" s="14" t="s">
        <v>23</v>
      </c>
      <c r="K67" s="14">
        <v>27</v>
      </c>
      <c r="L67" s="15">
        <v>30</v>
      </c>
      <c r="M67" s="15">
        <f t="shared" si="1"/>
        <v>810</v>
      </c>
      <c r="N67" s="14" t="s">
        <v>30</v>
      </c>
    </row>
    <row r="68" spans="1:14" ht="16.5" customHeight="1" x14ac:dyDescent="0.2">
      <c r="A68" s="7">
        <v>67</v>
      </c>
      <c r="B68" s="8" t="s">
        <v>37</v>
      </c>
      <c r="C68" s="9" t="s">
        <v>15</v>
      </c>
      <c r="D68" s="10">
        <v>35966</v>
      </c>
      <c r="E68" s="11">
        <v>705806132</v>
      </c>
      <c r="F68" s="12">
        <v>14</v>
      </c>
      <c r="G68" s="4" t="s">
        <v>16</v>
      </c>
      <c r="H68" s="13">
        <v>454</v>
      </c>
      <c r="I68" s="14" t="s">
        <v>38</v>
      </c>
      <c r="J68" s="14" t="s">
        <v>18</v>
      </c>
      <c r="K68" s="14">
        <v>64</v>
      </c>
      <c r="L68" s="15">
        <v>15</v>
      </c>
      <c r="M68" s="15">
        <f t="shared" si="1"/>
        <v>960</v>
      </c>
      <c r="N68" s="14" t="s">
        <v>30</v>
      </c>
    </row>
    <row r="69" spans="1:14" ht="16.5" customHeight="1" x14ac:dyDescent="0.2">
      <c r="A69" s="7">
        <v>68</v>
      </c>
      <c r="B69" s="8" t="s">
        <v>37</v>
      </c>
      <c r="C69" s="9" t="s">
        <v>15</v>
      </c>
      <c r="D69" s="10">
        <v>35975</v>
      </c>
      <c r="E69" s="11">
        <v>2368948815</v>
      </c>
      <c r="F69" s="12">
        <v>14</v>
      </c>
      <c r="G69" s="4" t="s">
        <v>16</v>
      </c>
      <c r="H69" s="13">
        <v>299</v>
      </c>
      <c r="I69" s="14" t="s">
        <v>28</v>
      </c>
      <c r="J69" s="14" t="s">
        <v>29</v>
      </c>
      <c r="K69" s="14">
        <v>59</v>
      </c>
      <c r="L69" s="15">
        <v>2</v>
      </c>
      <c r="M69" s="15">
        <f t="shared" si="1"/>
        <v>118</v>
      </c>
      <c r="N69" s="14" t="s">
        <v>30</v>
      </c>
    </row>
    <row r="70" spans="1:14" ht="16.5" customHeight="1" x14ac:dyDescent="0.2">
      <c r="A70" s="7">
        <v>69</v>
      </c>
      <c r="B70" s="8" t="s">
        <v>37</v>
      </c>
      <c r="C70" s="9" t="s">
        <v>15</v>
      </c>
      <c r="D70" s="10">
        <v>35984</v>
      </c>
      <c r="E70" s="11">
        <v>9156246307</v>
      </c>
      <c r="F70" s="12">
        <v>14</v>
      </c>
      <c r="G70" s="4" t="s">
        <v>16</v>
      </c>
      <c r="H70" s="13">
        <v>807</v>
      </c>
      <c r="I70" s="14" t="s">
        <v>17</v>
      </c>
      <c r="J70" s="14" t="s">
        <v>18</v>
      </c>
      <c r="K70" s="14">
        <v>52</v>
      </c>
      <c r="L70" s="15">
        <v>25</v>
      </c>
      <c r="M70" s="15">
        <f t="shared" si="1"/>
        <v>1300</v>
      </c>
      <c r="N70" s="14" t="s">
        <v>25</v>
      </c>
    </row>
    <row r="71" spans="1:14" ht="16.5" customHeight="1" x14ac:dyDescent="0.2">
      <c r="A71" s="7">
        <v>70</v>
      </c>
      <c r="B71" s="8" t="s">
        <v>37</v>
      </c>
      <c r="C71" s="9" t="s">
        <v>15</v>
      </c>
      <c r="D71" s="10">
        <v>36011</v>
      </c>
      <c r="E71" s="11">
        <v>5440195984</v>
      </c>
      <c r="F71" s="12">
        <v>14</v>
      </c>
      <c r="G71" s="4" t="s">
        <v>16</v>
      </c>
      <c r="H71" s="13">
        <v>359</v>
      </c>
      <c r="I71" s="14" t="s">
        <v>17</v>
      </c>
      <c r="J71" s="14" t="s">
        <v>18</v>
      </c>
      <c r="K71" s="14">
        <v>11</v>
      </c>
      <c r="L71" s="15">
        <v>25</v>
      </c>
      <c r="M71" s="15">
        <f t="shared" si="1"/>
        <v>275</v>
      </c>
      <c r="N71" s="16" t="s">
        <v>19</v>
      </c>
    </row>
    <row r="72" spans="1:14" ht="16.5" customHeight="1" x14ac:dyDescent="0.2">
      <c r="A72" s="7">
        <v>71</v>
      </c>
      <c r="B72" s="8" t="s">
        <v>37</v>
      </c>
      <c r="C72" s="9" t="s">
        <v>15</v>
      </c>
      <c r="D72" s="10">
        <v>36020</v>
      </c>
      <c r="E72" s="11">
        <v>8833880376</v>
      </c>
      <c r="F72" s="12">
        <v>14</v>
      </c>
      <c r="G72" s="4" t="s">
        <v>16</v>
      </c>
      <c r="H72" s="13">
        <v>240</v>
      </c>
      <c r="I72" s="14" t="s">
        <v>17</v>
      </c>
      <c r="J72" s="14" t="s">
        <v>18</v>
      </c>
      <c r="K72" s="14">
        <v>89</v>
      </c>
      <c r="L72" s="15">
        <v>45</v>
      </c>
      <c r="M72" s="15">
        <f t="shared" si="1"/>
        <v>4005</v>
      </c>
      <c r="N72" s="14" t="s">
        <v>30</v>
      </c>
    </row>
    <row r="73" spans="1:14" ht="16.5" customHeight="1" x14ac:dyDescent="0.2">
      <c r="A73" s="7">
        <v>72</v>
      </c>
      <c r="B73" s="8" t="s">
        <v>37</v>
      </c>
      <c r="C73" s="9" t="s">
        <v>15</v>
      </c>
      <c r="D73" s="10">
        <v>36038</v>
      </c>
      <c r="E73" s="11">
        <v>9814911035</v>
      </c>
      <c r="F73" s="12">
        <v>38</v>
      </c>
      <c r="G73" s="4" t="s">
        <v>39</v>
      </c>
      <c r="H73" s="13">
        <v>521</v>
      </c>
      <c r="I73" s="14" t="s">
        <v>22</v>
      </c>
      <c r="J73" s="14" t="s">
        <v>23</v>
      </c>
      <c r="K73" s="14">
        <v>77</v>
      </c>
      <c r="L73" s="15">
        <v>30</v>
      </c>
      <c r="M73" s="15">
        <f t="shared" si="1"/>
        <v>2310</v>
      </c>
      <c r="N73" s="14" t="s">
        <v>30</v>
      </c>
    </row>
    <row r="74" spans="1:14" ht="16.5" customHeight="1" x14ac:dyDescent="0.2">
      <c r="A74" s="7">
        <v>73</v>
      </c>
      <c r="B74" s="8" t="s">
        <v>37</v>
      </c>
      <c r="C74" s="9" t="s">
        <v>15</v>
      </c>
      <c r="D74" s="10">
        <v>36893</v>
      </c>
      <c r="E74" s="11">
        <v>705806132</v>
      </c>
      <c r="F74" s="12">
        <v>38</v>
      </c>
      <c r="G74" s="4" t="s">
        <v>39</v>
      </c>
      <c r="H74" s="13">
        <v>454</v>
      </c>
      <c r="I74" s="14" t="s">
        <v>38</v>
      </c>
      <c r="J74" s="14" t="s">
        <v>18</v>
      </c>
      <c r="K74" s="14">
        <v>80</v>
      </c>
      <c r="L74" s="15">
        <v>15</v>
      </c>
      <c r="M74" s="15">
        <f t="shared" si="1"/>
        <v>1200</v>
      </c>
      <c r="N74" s="14" t="s">
        <v>30</v>
      </c>
    </row>
    <row r="75" spans="1:14" ht="16.5" customHeight="1" x14ac:dyDescent="0.2">
      <c r="A75" s="7">
        <v>74</v>
      </c>
      <c r="B75" s="8" t="s">
        <v>37</v>
      </c>
      <c r="C75" s="9" t="s">
        <v>15</v>
      </c>
      <c r="D75" s="10">
        <v>36902</v>
      </c>
      <c r="E75" s="11">
        <v>2368948815</v>
      </c>
      <c r="F75" s="12">
        <v>38</v>
      </c>
      <c r="G75" s="4" t="s">
        <v>39</v>
      </c>
      <c r="H75" s="13">
        <v>299</v>
      </c>
      <c r="I75" s="14" t="s">
        <v>28</v>
      </c>
      <c r="J75" s="14" t="s">
        <v>29</v>
      </c>
      <c r="K75" s="14">
        <v>66</v>
      </c>
      <c r="L75" s="15">
        <v>2</v>
      </c>
      <c r="M75" s="15">
        <f t="shared" si="1"/>
        <v>132</v>
      </c>
      <c r="N75" s="14" t="s">
        <v>30</v>
      </c>
    </row>
    <row r="76" spans="1:14" ht="16.5" customHeight="1" x14ac:dyDescent="0.2">
      <c r="A76" s="7">
        <v>75</v>
      </c>
      <c r="B76" s="8" t="s">
        <v>37</v>
      </c>
      <c r="C76" s="9" t="s">
        <v>15</v>
      </c>
      <c r="D76" s="10">
        <v>36911</v>
      </c>
      <c r="E76" s="11">
        <v>9156246307</v>
      </c>
      <c r="F76" s="12">
        <v>38</v>
      </c>
      <c r="G76" s="4" t="s">
        <v>39</v>
      </c>
      <c r="H76" s="13">
        <v>807</v>
      </c>
      <c r="I76" s="14" t="s">
        <v>17</v>
      </c>
      <c r="J76" s="14" t="s">
        <v>18</v>
      </c>
      <c r="K76" s="14">
        <v>30</v>
      </c>
      <c r="L76" s="15">
        <v>25</v>
      </c>
      <c r="M76" s="15">
        <f t="shared" si="1"/>
        <v>750</v>
      </c>
      <c r="N76" s="14" t="s">
        <v>25</v>
      </c>
    </row>
    <row r="77" spans="1:14" ht="16.5" customHeight="1" x14ac:dyDescent="0.2">
      <c r="A77" s="7">
        <v>76</v>
      </c>
      <c r="B77" s="8" t="s">
        <v>37</v>
      </c>
      <c r="C77" s="9" t="s">
        <v>15</v>
      </c>
      <c r="D77" s="10">
        <v>36938</v>
      </c>
      <c r="E77" s="11">
        <v>5440195984</v>
      </c>
      <c r="F77" s="12">
        <v>38</v>
      </c>
      <c r="G77" s="4" t="s">
        <v>39</v>
      </c>
      <c r="H77" s="13">
        <v>359</v>
      </c>
      <c r="I77" s="14" t="s">
        <v>17</v>
      </c>
      <c r="J77" s="14" t="s">
        <v>18</v>
      </c>
      <c r="K77" s="14">
        <v>73</v>
      </c>
      <c r="L77" s="15">
        <v>25</v>
      </c>
      <c r="M77" s="15">
        <f t="shared" si="1"/>
        <v>1825</v>
      </c>
      <c r="N77" s="16" t="s">
        <v>19</v>
      </c>
    </row>
    <row r="78" spans="1:14" ht="16.5" customHeight="1" x14ac:dyDescent="0.2">
      <c r="A78" s="7">
        <v>77</v>
      </c>
      <c r="B78" s="8" t="s">
        <v>37</v>
      </c>
      <c r="C78" s="9" t="s">
        <v>15</v>
      </c>
      <c r="D78" s="10">
        <v>36947</v>
      </c>
      <c r="E78" s="11">
        <v>8833880376</v>
      </c>
      <c r="F78" s="12">
        <v>38</v>
      </c>
      <c r="G78" s="4" t="s">
        <v>39</v>
      </c>
      <c r="H78" s="13">
        <v>240</v>
      </c>
      <c r="I78" s="14" t="s">
        <v>17</v>
      </c>
      <c r="J78" s="14" t="s">
        <v>18</v>
      </c>
      <c r="K78" s="14">
        <v>92</v>
      </c>
      <c r="L78" s="15">
        <v>45</v>
      </c>
      <c r="M78" s="15">
        <f t="shared" si="1"/>
        <v>4140</v>
      </c>
      <c r="N78" s="14" t="s">
        <v>30</v>
      </c>
    </row>
    <row r="79" spans="1:14" ht="16.5" customHeight="1" x14ac:dyDescent="0.2">
      <c r="A79" s="7">
        <v>78</v>
      </c>
      <c r="B79" s="8" t="s">
        <v>37</v>
      </c>
      <c r="C79" s="9" t="s">
        <v>15</v>
      </c>
      <c r="D79" s="10">
        <v>36965</v>
      </c>
      <c r="E79" s="11">
        <v>9814911035</v>
      </c>
      <c r="F79" s="12">
        <v>38</v>
      </c>
      <c r="G79" s="4" t="s">
        <v>39</v>
      </c>
      <c r="H79" s="13">
        <v>521</v>
      </c>
      <c r="I79" s="14" t="s">
        <v>22</v>
      </c>
      <c r="J79" s="14" t="s">
        <v>23</v>
      </c>
      <c r="K79" s="14">
        <v>98</v>
      </c>
      <c r="L79" s="15">
        <v>30</v>
      </c>
      <c r="M79" s="15">
        <f t="shared" si="1"/>
        <v>2940</v>
      </c>
      <c r="N79" s="14" t="s">
        <v>30</v>
      </c>
    </row>
    <row r="80" spans="1:14" ht="16.5" customHeight="1" x14ac:dyDescent="0.2">
      <c r="A80" s="7">
        <v>79</v>
      </c>
      <c r="B80" s="8" t="s">
        <v>37</v>
      </c>
      <c r="C80" s="9" t="s">
        <v>40</v>
      </c>
      <c r="D80" s="10">
        <v>37820</v>
      </c>
      <c r="E80" s="11">
        <v>705806132</v>
      </c>
      <c r="F80" s="12">
        <v>38</v>
      </c>
      <c r="G80" s="4" t="s">
        <v>39</v>
      </c>
      <c r="H80" s="13">
        <v>454</v>
      </c>
      <c r="I80" s="14" t="s">
        <v>38</v>
      </c>
      <c r="J80" s="14" t="s">
        <v>18</v>
      </c>
      <c r="K80" s="14">
        <v>22</v>
      </c>
      <c r="L80" s="15">
        <v>15</v>
      </c>
      <c r="M80" s="15">
        <f t="shared" si="1"/>
        <v>330</v>
      </c>
      <c r="N80" s="14" t="s">
        <v>30</v>
      </c>
    </row>
    <row r="81" spans="1:14" ht="16.5" customHeight="1" x14ac:dyDescent="0.2">
      <c r="A81" s="7">
        <v>80</v>
      </c>
      <c r="B81" s="8" t="s">
        <v>37</v>
      </c>
      <c r="C81" s="9" t="s">
        <v>40</v>
      </c>
      <c r="D81" s="10">
        <v>37829</v>
      </c>
      <c r="E81" s="11">
        <v>2368948815</v>
      </c>
      <c r="F81" s="12">
        <v>38</v>
      </c>
      <c r="G81" s="4" t="s">
        <v>39</v>
      </c>
      <c r="H81" s="13">
        <v>299</v>
      </c>
      <c r="I81" s="14" t="s">
        <v>28</v>
      </c>
      <c r="J81" s="14" t="s">
        <v>29</v>
      </c>
      <c r="K81" s="14">
        <v>92</v>
      </c>
      <c r="L81" s="15">
        <v>2</v>
      </c>
      <c r="M81" s="15">
        <f t="shared" si="1"/>
        <v>184</v>
      </c>
      <c r="N81" s="14" t="s">
        <v>30</v>
      </c>
    </row>
    <row r="82" spans="1:14" ht="16.5" customHeight="1" x14ac:dyDescent="0.2">
      <c r="A82" s="7">
        <v>81</v>
      </c>
      <c r="B82" s="8" t="s">
        <v>37</v>
      </c>
      <c r="C82" s="9" t="s">
        <v>40</v>
      </c>
      <c r="D82" s="10">
        <v>37838</v>
      </c>
      <c r="E82" s="11">
        <v>9156246307</v>
      </c>
      <c r="F82" s="12">
        <v>14</v>
      </c>
      <c r="G82" s="4" t="s">
        <v>16</v>
      </c>
      <c r="H82" s="13">
        <v>807</v>
      </c>
      <c r="I82" s="14" t="s">
        <v>17</v>
      </c>
      <c r="J82" s="14" t="s">
        <v>18</v>
      </c>
      <c r="K82" s="14">
        <v>92</v>
      </c>
      <c r="L82" s="15">
        <v>25</v>
      </c>
      <c r="M82" s="15">
        <f t="shared" si="1"/>
        <v>2300</v>
      </c>
      <c r="N82" s="14" t="s">
        <v>25</v>
      </c>
    </row>
    <row r="83" spans="1:14" ht="16.5" customHeight="1" x14ac:dyDescent="0.2">
      <c r="A83" s="7">
        <v>82</v>
      </c>
      <c r="B83" s="8" t="s">
        <v>37</v>
      </c>
      <c r="C83" s="9" t="s">
        <v>40</v>
      </c>
      <c r="D83" s="10">
        <v>37865</v>
      </c>
      <c r="E83" s="11">
        <v>5440195984</v>
      </c>
      <c r="F83" s="12">
        <v>14</v>
      </c>
      <c r="G83" s="4" t="s">
        <v>16</v>
      </c>
      <c r="H83" s="13">
        <v>359</v>
      </c>
      <c r="I83" s="14" t="s">
        <v>17</v>
      </c>
      <c r="J83" s="14" t="s">
        <v>18</v>
      </c>
      <c r="K83" s="14">
        <v>35</v>
      </c>
      <c r="L83" s="15">
        <v>25</v>
      </c>
      <c r="M83" s="15">
        <f t="shared" si="1"/>
        <v>875</v>
      </c>
      <c r="N83" s="16" t="s">
        <v>19</v>
      </c>
    </row>
    <row r="84" spans="1:14" ht="16.5" customHeight="1" x14ac:dyDescent="0.2">
      <c r="A84" s="7">
        <v>83</v>
      </c>
      <c r="B84" s="8" t="s">
        <v>37</v>
      </c>
      <c r="C84" s="9" t="s">
        <v>40</v>
      </c>
      <c r="D84" s="10">
        <v>37874</v>
      </c>
      <c r="E84" s="11">
        <v>8833880376</v>
      </c>
      <c r="F84" s="12">
        <v>14</v>
      </c>
      <c r="G84" s="4" t="s">
        <v>16</v>
      </c>
      <c r="H84" s="13">
        <v>240</v>
      </c>
      <c r="I84" s="14" t="s">
        <v>17</v>
      </c>
      <c r="J84" s="14" t="s">
        <v>18</v>
      </c>
      <c r="K84" s="14">
        <v>75</v>
      </c>
      <c r="L84" s="15">
        <v>45</v>
      </c>
      <c r="M84" s="15">
        <f t="shared" si="1"/>
        <v>3375</v>
      </c>
      <c r="N84" s="14" t="s">
        <v>30</v>
      </c>
    </row>
    <row r="85" spans="1:14" ht="16.5" customHeight="1" x14ac:dyDescent="0.2">
      <c r="A85" s="7">
        <v>84</v>
      </c>
      <c r="B85" s="8" t="s">
        <v>37</v>
      </c>
      <c r="C85" s="9" t="s">
        <v>40</v>
      </c>
      <c r="D85" s="10">
        <v>37892</v>
      </c>
      <c r="E85" s="11">
        <v>9814911035</v>
      </c>
      <c r="F85" s="12">
        <v>14</v>
      </c>
      <c r="G85" s="4" t="s">
        <v>16</v>
      </c>
      <c r="H85" s="13">
        <v>521</v>
      </c>
      <c r="I85" s="14" t="s">
        <v>22</v>
      </c>
      <c r="J85" s="14" t="s">
        <v>23</v>
      </c>
      <c r="K85" s="14">
        <v>32</v>
      </c>
      <c r="L85" s="15">
        <v>30</v>
      </c>
      <c r="M85" s="15">
        <f t="shared" si="1"/>
        <v>960</v>
      </c>
      <c r="N85" s="14" t="s">
        <v>30</v>
      </c>
    </row>
    <row r="86" spans="1:14" ht="16.5" customHeight="1" x14ac:dyDescent="0.2">
      <c r="A86" s="7">
        <v>85</v>
      </c>
      <c r="B86" s="8" t="s">
        <v>37</v>
      </c>
      <c r="C86" s="9" t="s">
        <v>40</v>
      </c>
      <c r="D86" s="10">
        <v>38747</v>
      </c>
      <c r="E86" s="11">
        <v>705806132</v>
      </c>
      <c r="F86" s="12">
        <v>14</v>
      </c>
      <c r="G86" s="4" t="s">
        <v>16</v>
      </c>
      <c r="H86" s="13">
        <v>454</v>
      </c>
      <c r="I86" s="14" t="s">
        <v>38</v>
      </c>
      <c r="J86" s="14" t="s">
        <v>18</v>
      </c>
      <c r="K86" s="14">
        <v>51</v>
      </c>
      <c r="L86" s="15">
        <v>15</v>
      </c>
      <c r="M86" s="15">
        <f t="shared" si="1"/>
        <v>765</v>
      </c>
      <c r="N86" s="14" t="s">
        <v>30</v>
      </c>
    </row>
    <row r="87" spans="1:14" ht="16.5" customHeight="1" x14ac:dyDescent="0.2">
      <c r="A87" s="7">
        <v>86</v>
      </c>
      <c r="B87" s="8" t="s">
        <v>37</v>
      </c>
      <c r="C87" s="9" t="s">
        <v>40</v>
      </c>
      <c r="D87" s="10">
        <v>38756</v>
      </c>
      <c r="E87" s="11">
        <v>2368948815</v>
      </c>
      <c r="F87" s="12">
        <v>14</v>
      </c>
      <c r="G87" s="4" t="s">
        <v>16</v>
      </c>
      <c r="H87" s="13">
        <v>299</v>
      </c>
      <c r="I87" s="14" t="s">
        <v>28</v>
      </c>
      <c r="J87" s="14" t="s">
        <v>29</v>
      </c>
      <c r="K87" s="14">
        <v>18</v>
      </c>
      <c r="L87" s="15">
        <v>2</v>
      </c>
      <c r="M87" s="15">
        <f t="shared" si="1"/>
        <v>36</v>
      </c>
      <c r="N87" s="14" t="s">
        <v>30</v>
      </c>
    </row>
    <row r="88" spans="1:14" ht="16.5" customHeight="1" x14ac:dyDescent="0.2">
      <c r="A88" s="7">
        <v>87</v>
      </c>
      <c r="B88" s="8" t="s">
        <v>37</v>
      </c>
      <c r="C88" s="9" t="s">
        <v>40</v>
      </c>
      <c r="D88" s="10">
        <v>38765</v>
      </c>
      <c r="E88" s="11">
        <v>9156246307</v>
      </c>
      <c r="F88" s="12">
        <v>14</v>
      </c>
      <c r="G88" s="4" t="s">
        <v>16</v>
      </c>
      <c r="H88" s="13">
        <v>807</v>
      </c>
      <c r="I88" s="14" t="s">
        <v>17</v>
      </c>
      <c r="J88" s="14" t="s">
        <v>18</v>
      </c>
      <c r="K88" s="14">
        <v>86</v>
      </c>
      <c r="L88" s="15">
        <v>25</v>
      </c>
      <c r="M88" s="15">
        <f t="shared" si="1"/>
        <v>2150</v>
      </c>
      <c r="N88" s="14" t="s">
        <v>25</v>
      </c>
    </row>
    <row r="89" spans="1:14" ht="16.5" customHeight="1" x14ac:dyDescent="0.2">
      <c r="A89" s="7">
        <v>88</v>
      </c>
      <c r="B89" s="8" t="s">
        <v>37</v>
      </c>
      <c r="C89" s="9" t="s">
        <v>40</v>
      </c>
      <c r="D89" s="10">
        <v>38792</v>
      </c>
      <c r="E89" s="11">
        <v>5440195984</v>
      </c>
      <c r="F89" s="12">
        <v>14</v>
      </c>
      <c r="G89" s="4" t="s">
        <v>16</v>
      </c>
      <c r="H89" s="13">
        <v>359</v>
      </c>
      <c r="I89" s="14" t="s">
        <v>17</v>
      </c>
      <c r="J89" s="14" t="s">
        <v>18</v>
      </c>
      <c r="K89" s="14">
        <v>93</v>
      </c>
      <c r="L89" s="15">
        <v>25</v>
      </c>
      <c r="M89" s="15">
        <f t="shared" si="1"/>
        <v>2325</v>
      </c>
      <c r="N89" s="16" t="s">
        <v>19</v>
      </c>
    </row>
    <row r="90" spans="1:14" ht="16.5" customHeight="1" x14ac:dyDescent="0.2">
      <c r="A90" s="7">
        <v>89</v>
      </c>
      <c r="B90" s="8" t="s">
        <v>37</v>
      </c>
      <c r="C90" s="9" t="s">
        <v>40</v>
      </c>
      <c r="D90" s="10">
        <v>38801</v>
      </c>
      <c r="E90" s="11">
        <v>8833880376</v>
      </c>
      <c r="F90" s="12">
        <v>14</v>
      </c>
      <c r="G90" s="4" t="s">
        <v>16</v>
      </c>
      <c r="H90" s="13">
        <v>240</v>
      </c>
      <c r="I90" s="14" t="s">
        <v>17</v>
      </c>
      <c r="J90" s="14" t="s">
        <v>18</v>
      </c>
      <c r="K90" s="14">
        <v>10</v>
      </c>
      <c r="L90" s="15">
        <v>45</v>
      </c>
      <c r="M90" s="15">
        <f t="shared" si="1"/>
        <v>450</v>
      </c>
      <c r="N90" s="14" t="s">
        <v>30</v>
      </c>
    </row>
    <row r="91" spans="1:14" ht="16.5" customHeight="1" x14ac:dyDescent="0.2">
      <c r="A91" s="7">
        <v>90</v>
      </c>
      <c r="B91" s="8" t="s">
        <v>37</v>
      </c>
      <c r="C91" s="9" t="s">
        <v>40</v>
      </c>
      <c r="D91" s="10">
        <v>38819</v>
      </c>
      <c r="E91" s="11">
        <v>9814911035</v>
      </c>
      <c r="F91" s="12">
        <v>14</v>
      </c>
      <c r="G91" s="4" t="s">
        <v>16</v>
      </c>
      <c r="H91" s="13">
        <v>521</v>
      </c>
      <c r="I91" s="14" t="s">
        <v>22</v>
      </c>
      <c r="J91" s="14" t="s">
        <v>23</v>
      </c>
      <c r="K91" s="14">
        <v>75</v>
      </c>
      <c r="L91" s="15">
        <v>30</v>
      </c>
      <c r="M91" s="15">
        <f t="shared" si="1"/>
        <v>2250</v>
      </c>
      <c r="N91" s="14" t="s">
        <v>30</v>
      </c>
    </row>
    <row r="92" spans="1:14" ht="16.5" customHeight="1" x14ac:dyDescent="0.2">
      <c r="A92" s="7">
        <v>91</v>
      </c>
      <c r="B92" s="8" t="s">
        <v>37</v>
      </c>
      <c r="C92" s="9" t="s">
        <v>40</v>
      </c>
      <c r="D92" s="10">
        <v>39674</v>
      </c>
      <c r="E92" s="11">
        <v>705806132</v>
      </c>
      <c r="F92" s="12">
        <v>28</v>
      </c>
      <c r="G92" s="4" t="s">
        <v>27</v>
      </c>
      <c r="H92" s="13">
        <v>454</v>
      </c>
      <c r="I92" s="14" t="s">
        <v>38</v>
      </c>
      <c r="J92" s="14" t="s">
        <v>18</v>
      </c>
      <c r="K92" s="14">
        <v>23</v>
      </c>
      <c r="L92" s="15">
        <v>15</v>
      </c>
      <c r="M92" s="15">
        <f t="shared" si="1"/>
        <v>345</v>
      </c>
      <c r="N92" s="14" t="s">
        <v>30</v>
      </c>
    </row>
    <row r="93" spans="1:14" ht="16.5" customHeight="1" x14ac:dyDescent="0.2">
      <c r="A93" s="7">
        <v>92</v>
      </c>
      <c r="B93" s="8" t="s">
        <v>37</v>
      </c>
      <c r="C93" s="9" t="s">
        <v>40</v>
      </c>
      <c r="D93" s="10">
        <v>39683</v>
      </c>
      <c r="E93" s="11">
        <v>2368948815</v>
      </c>
      <c r="F93" s="12">
        <v>28</v>
      </c>
      <c r="G93" s="4" t="s">
        <v>27</v>
      </c>
      <c r="H93" s="13">
        <v>299</v>
      </c>
      <c r="I93" s="14" t="s">
        <v>28</v>
      </c>
      <c r="J93" s="14" t="s">
        <v>29</v>
      </c>
      <c r="K93" s="14">
        <v>49</v>
      </c>
      <c r="L93" s="15">
        <v>2</v>
      </c>
      <c r="M93" s="15">
        <f t="shared" si="1"/>
        <v>98</v>
      </c>
      <c r="N93" s="14" t="s">
        <v>30</v>
      </c>
    </row>
    <row r="94" spans="1:14" ht="16.5" customHeight="1" x14ac:dyDescent="0.2">
      <c r="A94" s="7">
        <v>93</v>
      </c>
      <c r="B94" s="8" t="s">
        <v>37</v>
      </c>
      <c r="C94" s="9" t="s">
        <v>15</v>
      </c>
      <c r="D94" s="10">
        <v>39692</v>
      </c>
      <c r="E94" s="11">
        <v>9156246307</v>
      </c>
      <c r="F94" s="12">
        <v>28</v>
      </c>
      <c r="G94" s="4" t="s">
        <v>27</v>
      </c>
      <c r="H94" s="13">
        <v>807</v>
      </c>
      <c r="I94" s="14" t="s">
        <v>17</v>
      </c>
      <c r="J94" s="14" t="s">
        <v>18</v>
      </c>
      <c r="K94" s="14">
        <v>80</v>
      </c>
      <c r="L94" s="15">
        <v>25</v>
      </c>
      <c r="M94" s="15">
        <f t="shared" si="1"/>
        <v>2000</v>
      </c>
      <c r="N94" s="14" t="s">
        <v>25</v>
      </c>
    </row>
    <row r="95" spans="1:14" ht="16.5" customHeight="1" x14ac:dyDescent="0.2">
      <c r="A95" s="7">
        <v>94</v>
      </c>
      <c r="B95" s="8" t="s">
        <v>37</v>
      </c>
      <c r="C95" s="9" t="s">
        <v>15</v>
      </c>
      <c r="D95" s="10">
        <v>39719</v>
      </c>
      <c r="E95" s="11">
        <v>5440195984</v>
      </c>
      <c r="F95" s="12">
        <v>28</v>
      </c>
      <c r="G95" s="4" t="s">
        <v>27</v>
      </c>
      <c r="H95" s="13">
        <v>359</v>
      </c>
      <c r="I95" s="14" t="s">
        <v>17</v>
      </c>
      <c r="J95" s="14" t="s">
        <v>18</v>
      </c>
      <c r="K95" s="14">
        <v>28</v>
      </c>
      <c r="L95" s="15">
        <v>25</v>
      </c>
      <c r="M95" s="15">
        <f t="shared" si="1"/>
        <v>700</v>
      </c>
      <c r="N95" s="16" t="s">
        <v>19</v>
      </c>
    </row>
    <row r="96" spans="1:14" ht="16.5" customHeight="1" x14ac:dyDescent="0.2">
      <c r="A96" s="7">
        <v>95</v>
      </c>
      <c r="B96" s="8" t="s">
        <v>37</v>
      </c>
      <c r="C96" s="9" t="s">
        <v>15</v>
      </c>
      <c r="D96" s="10">
        <v>39728</v>
      </c>
      <c r="E96" s="11">
        <v>8833880376</v>
      </c>
      <c r="F96" s="12">
        <v>28</v>
      </c>
      <c r="G96" s="4" t="s">
        <v>27</v>
      </c>
      <c r="H96" s="13">
        <v>240</v>
      </c>
      <c r="I96" s="14" t="s">
        <v>17</v>
      </c>
      <c r="J96" s="14" t="s">
        <v>18</v>
      </c>
      <c r="K96" s="14">
        <v>71</v>
      </c>
      <c r="L96" s="15">
        <v>45</v>
      </c>
      <c r="M96" s="15">
        <f t="shared" si="1"/>
        <v>3195</v>
      </c>
      <c r="N96" s="14" t="s">
        <v>30</v>
      </c>
    </row>
    <row r="97" spans="1:14" ht="16.5" customHeight="1" x14ac:dyDescent="0.2">
      <c r="A97" s="7">
        <v>96</v>
      </c>
      <c r="B97" s="8" t="s">
        <v>37</v>
      </c>
      <c r="C97" s="9" t="s">
        <v>15</v>
      </c>
      <c r="D97" s="10">
        <v>39746</v>
      </c>
      <c r="E97" s="11">
        <v>9814911035</v>
      </c>
      <c r="F97" s="12">
        <v>28</v>
      </c>
      <c r="G97" s="4" t="s">
        <v>27</v>
      </c>
      <c r="H97" s="13">
        <v>521</v>
      </c>
      <c r="I97" s="14" t="s">
        <v>22</v>
      </c>
      <c r="J97" s="14" t="s">
        <v>23</v>
      </c>
      <c r="K97" s="14">
        <v>96</v>
      </c>
      <c r="L97" s="15">
        <v>30</v>
      </c>
      <c r="M97" s="15">
        <f t="shared" si="1"/>
        <v>2880</v>
      </c>
      <c r="N97" s="14" t="s">
        <v>30</v>
      </c>
    </row>
    <row r="98" spans="1:14" ht="16.5" customHeight="1" x14ac:dyDescent="0.2">
      <c r="A98" s="7">
        <v>97</v>
      </c>
      <c r="B98" s="8" t="s">
        <v>41</v>
      </c>
      <c r="C98" s="9" t="s">
        <v>42</v>
      </c>
      <c r="D98" s="10">
        <v>35597</v>
      </c>
      <c r="E98" s="11">
        <v>7972155665</v>
      </c>
      <c r="F98" s="12">
        <v>28</v>
      </c>
      <c r="G98" s="4" t="s">
        <v>27</v>
      </c>
      <c r="H98" s="13">
        <v>568</v>
      </c>
      <c r="I98" s="14" t="s">
        <v>28</v>
      </c>
      <c r="J98" s="14" t="s">
        <v>29</v>
      </c>
      <c r="K98" s="14">
        <v>98</v>
      </c>
      <c r="L98" s="15">
        <v>1</v>
      </c>
      <c r="M98" s="15">
        <f t="shared" si="1"/>
        <v>98</v>
      </c>
      <c r="N98" s="14" t="s">
        <v>30</v>
      </c>
    </row>
    <row r="99" spans="1:14" ht="16.5" customHeight="1" x14ac:dyDescent="0.2">
      <c r="A99" s="7">
        <v>98</v>
      </c>
      <c r="B99" s="8" t="s">
        <v>41</v>
      </c>
      <c r="C99" s="9" t="s">
        <v>42</v>
      </c>
      <c r="D99" s="10">
        <v>36524</v>
      </c>
      <c r="E99" s="11">
        <v>7972155665</v>
      </c>
      <c r="F99" s="12">
        <v>28</v>
      </c>
      <c r="G99" s="4" t="s">
        <v>27</v>
      </c>
      <c r="H99" s="13">
        <v>568</v>
      </c>
      <c r="I99" s="14" t="s">
        <v>28</v>
      </c>
      <c r="J99" s="14" t="s">
        <v>29</v>
      </c>
      <c r="K99" s="14">
        <v>71</v>
      </c>
      <c r="L99" s="15">
        <v>1</v>
      </c>
      <c r="M99" s="15">
        <f t="shared" si="1"/>
        <v>71</v>
      </c>
      <c r="N99" s="14" t="s">
        <v>30</v>
      </c>
    </row>
    <row r="100" spans="1:14" ht="16.5" customHeight="1" x14ac:dyDescent="0.2">
      <c r="A100" s="7">
        <v>99</v>
      </c>
      <c r="B100" s="8" t="s">
        <v>41</v>
      </c>
      <c r="C100" s="9" t="s">
        <v>42</v>
      </c>
      <c r="D100" s="10">
        <v>37451</v>
      </c>
      <c r="E100" s="11">
        <v>7972155665</v>
      </c>
      <c r="F100" s="12">
        <v>28</v>
      </c>
      <c r="G100" s="4" t="s">
        <v>27</v>
      </c>
      <c r="H100" s="13">
        <v>568</v>
      </c>
      <c r="I100" s="14" t="s">
        <v>28</v>
      </c>
      <c r="J100" s="14" t="s">
        <v>29</v>
      </c>
      <c r="K100" s="14">
        <v>87</v>
      </c>
      <c r="L100" s="15">
        <v>1</v>
      </c>
      <c r="M100" s="15">
        <f t="shared" si="1"/>
        <v>87</v>
      </c>
      <c r="N100" s="14" t="s">
        <v>30</v>
      </c>
    </row>
    <row r="101" spans="1:14" ht="16.5" customHeight="1" x14ac:dyDescent="0.2">
      <c r="A101" s="7">
        <v>100</v>
      </c>
      <c r="B101" s="8" t="s">
        <v>41</v>
      </c>
      <c r="C101" s="9" t="s">
        <v>42</v>
      </c>
      <c r="D101" s="10">
        <v>38378</v>
      </c>
      <c r="E101" s="11">
        <v>7972155665</v>
      </c>
      <c r="F101" s="12">
        <v>28</v>
      </c>
      <c r="G101" s="4" t="s">
        <v>27</v>
      </c>
      <c r="H101" s="13">
        <v>568</v>
      </c>
      <c r="I101" s="14" t="s">
        <v>28</v>
      </c>
      <c r="J101" s="14" t="s">
        <v>29</v>
      </c>
      <c r="K101" s="14">
        <v>92</v>
      </c>
      <c r="L101" s="15">
        <v>1</v>
      </c>
      <c r="M101" s="15">
        <f t="shared" si="1"/>
        <v>92</v>
      </c>
      <c r="N101" s="14" t="s">
        <v>30</v>
      </c>
    </row>
    <row r="102" spans="1:14" ht="16.5" customHeight="1" x14ac:dyDescent="0.2">
      <c r="A102" s="7">
        <v>101</v>
      </c>
      <c r="B102" s="8" t="s">
        <v>41</v>
      </c>
      <c r="C102" s="9" t="s">
        <v>42</v>
      </c>
      <c r="D102" s="10">
        <v>39305</v>
      </c>
      <c r="E102" s="11">
        <v>7972155665</v>
      </c>
      <c r="F102" s="12">
        <v>28</v>
      </c>
      <c r="G102" s="4" t="s">
        <v>27</v>
      </c>
      <c r="H102" s="13">
        <v>568</v>
      </c>
      <c r="I102" s="14" t="s">
        <v>28</v>
      </c>
      <c r="J102" s="14" t="s">
        <v>29</v>
      </c>
      <c r="K102" s="14">
        <v>25</v>
      </c>
      <c r="L102" s="15">
        <v>1</v>
      </c>
      <c r="M102" s="15">
        <f t="shared" si="1"/>
        <v>25</v>
      </c>
      <c r="N102" s="14" t="s">
        <v>30</v>
      </c>
    </row>
    <row r="103" spans="1:14" ht="16.5" customHeight="1" x14ac:dyDescent="0.2">
      <c r="A103" s="7">
        <v>102</v>
      </c>
      <c r="B103" s="8" t="s">
        <v>41</v>
      </c>
      <c r="C103" s="9" t="s">
        <v>42</v>
      </c>
      <c r="D103" s="10">
        <v>40232</v>
      </c>
      <c r="E103" s="11">
        <v>7972155665</v>
      </c>
      <c r="F103" s="12">
        <v>28</v>
      </c>
      <c r="G103" s="4" t="s">
        <v>27</v>
      </c>
      <c r="H103" s="13">
        <v>568</v>
      </c>
      <c r="I103" s="14" t="s">
        <v>28</v>
      </c>
      <c r="J103" s="14" t="s">
        <v>29</v>
      </c>
      <c r="K103" s="14">
        <v>67</v>
      </c>
      <c r="L103" s="15">
        <v>1</v>
      </c>
      <c r="M103" s="15">
        <f t="shared" si="1"/>
        <v>67</v>
      </c>
      <c r="N103" s="14" t="s">
        <v>30</v>
      </c>
    </row>
    <row r="104" spans="1:14" ht="16.5" customHeight="1" x14ac:dyDescent="0.2">
      <c r="A104" s="7">
        <v>103</v>
      </c>
      <c r="B104" s="8" t="s">
        <v>43</v>
      </c>
      <c r="C104" s="9" t="s">
        <v>42</v>
      </c>
      <c r="D104" s="10">
        <v>35174</v>
      </c>
      <c r="E104" s="11">
        <v>2840707925</v>
      </c>
      <c r="F104" s="12">
        <v>28</v>
      </c>
      <c r="G104" s="4" t="s">
        <v>27</v>
      </c>
      <c r="H104" s="13">
        <v>299</v>
      </c>
      <c r="I104" s="14" t="s">
        <v>28</v>
      </c>
      <c r="J104" s="14" t="s">
        <v>29</v>
      </c>
      <c r="K104" s="14">
        <v>42</v>
      </c>
      <c r="L104" s="15">
        <v>2</v>
      </c>
      <c r="M104" s="15">
        <f t="shared" si="1"/>
        <v>84</v>
      </c>
      <c r="N104" s="14" t="s">
        <v>25</v>
      </c>
    </row>
    <row r="105" spans="1:14" ht="16.5" customHeight="1" x14ac:dyDescent="0.2">
      <c r="A105" s="7">
        <v>104</v>
      </c>
      <c r="B105" s="8" t="s">
        <v>43</v>
      </c>
      <c r="C105" s="9" t="s">
        <v>42</v>
      </c>
      <c r="D105" s="10">
        <v>35192</v>
      </c>
      <c r="E105" s="11">
        <v>2208558769</v>
      </c>
      <c r="F105" s="12">
        <v>28</v>
      </c>
      <c r="G105" s="4" t="s">
        <v>27</v>
      </c>
      <c r="H105" s="13">
        <v>793</v>
      </c>
      <c r="I105" s="14" t="s">
        <v>17</v>
      </c>
      <c r="J105" s="14" t="s">
        <v>18</v>
      </c>
      <c r="K105" s="14">
        <v>74</v>
      </c>
      <c r="L105" s="15">
        <v>35</v>
      </c>
      <c r="M105" s="15">
        <f t="shared" si="1"/>
        <v>2590</v>
      </c>
      <c r="N105" s="14" t="s">
        <v>30</v>
      </c>
    </row>
    <row r="106" spans="1:14" ht="16.5" customHeight="1" x14ac:dyDescent="0.2">
      <c r="A106" s="7">
        <v>105</v>
      </c>
      <c r="B106" s="8" t="s">
        <v>43</v>
      </c>
      <c r="C106" s="9" t="s">
        <v>42</v>
      </c>
      <c r="D106" s="10">
        <v>35327</v>
      </c>
      <c r="E106" s="11">
        <v>9652447749</v>
      </c>
      <c r="F106" s="12">
        <v>28</v>
      </c>
      <c r="G106" s="4" t="s">
        <v>27</v>
      </c>
      <c r="H106" s="13">
        <v>896</v>
      </c>
      <c r="I106" s="14" t="s">
        <v>38</v>
      </c>
      <c r="J106" s="14" t="s">
        <v>18</v>
      </c>
      <c r="K106" s="14">
        <v>91</v>
      </c>
      <c r="L106" s="15">
        <v>15</v>
      </c>
      <c r="M106" s="15">
        <f t="shared" si="1"/>
        <v>1365</v>
      </c>
      <c r="N106" s="16" t="s">
        <v>19</v>
      </c>
    </row>
    <row r="107" spans="1:14" ht="16.5" customHeight="1" x14ac:dyDescent="0.2">
      <c r="A107" s="7">
        <v>106</v>
      </c>
      <c r="B107" s="8" t="s">
        <v>43</v>
      </c>
      <c r="C107" s="9" t="s">
        <v>42</v>
      </c>
      <c r="D107" s="10">
        <v>35336</v>
      </c>
      <c r="E107" s="11">
        <v>6293973290</v>
      </c>
      <c r="F107" s="12">
        <v>21</v>
      </c>
      <c r="G107" s="4" t="s">
        <v>44</v>
      </c>
      <c r="H107" s="13">
        <v>896</v>
      </c>
      <c r="I107" s="14" t="s">
        <v>38</v>
      </c>
      <c r="J107" s="14" t="s">
        <v>18</v>
      </c>
      <c r="K107" s="14">
        <v>13</v>
      </c>
      <c r="L107" s="15">
        <v>15</v>
      </c>
      <c r="M107" s="15">
        <f t="shared" si="1"/>
        <v>195</v>
      </c>
      <c r="N107" s="14" t="s">
        <v>25</v>
      </c>
    </row>
    <row r="108" spans="1:14" ht="16.5" customHeight="1" x14ac:dyDescent="0.2">
      <c r="A108" s="7">
        <v>107</v>
      </c>
      <c r="B108" s="8" t="s">
        <v>43</v>
      </c>
      <c r="C108" s="9" t="s">
        <v>42</v>
      </c>
      <c r="D108" s="10">
        <v>36101</v>
      </c>
      <c r="E108" s="11">
        <v>2840707925</v>
      </c>
      <c r="F108" s="12">
        <v>21</v>
      </c>
      <c r="G108" s="4" t="s">
        <v>44</v>
      </c>
      <c r="H108" s="13">
        <v>299</v>
      </c>
      <c r="I108" s="14" t="s">
        <v>28</v>
      </c>
      <c r="J108" s="14" t="s">
        <v>29</v>
      </c>
      <c r="K108" s="14">
        <v>66</v>
      </c>
      <c r="L108" s="15">
        <v>2</v>
      </c>
      <c r="M108" s="15">
        <f t="shared" si="1"/>
        <v>132</v>
      </c>
      <c r="N108" s="14" t="s">
        <v>25</v>
      </c>
    </row>
    <row r="109" spans="1:14" ht="16.5" customHeight="1" x14ac:dyDescent="0.2">
      <c r="A109" s="7">
        <v>108</v>
      </c>
      <c r="B109" s="8" t="s">
        <v>43</v>
      </c>
      <c r="C109" s="9" t="s">
        <v>42</v>
      </c>
      <c r="D109" s="10">
        <v>36119</v>
      </c>
      <c r="E109" s="11">
        <v>2208558769</v>
      </c>
      <c r="F109" s="12">
        <v>21</v>
      </c>
      <c r="G109" s="4" t="s">
        <v>44</v>
      </c>
      <c r="H109" s="13">
        <v>793</v>
      </c>
      <c r="I109" s="14" t="s">
        <v>17</v>
      </c>
      <c r="J109" s="14" t="s">
        <v>18</v>
      </c>
      <c r="K109" s="14">
        <v>95</v>
      </c>
      <c r="L109" s="15">
        <v>35</v>
      </c>
      <c r="M109" s="15">
        <f t="shared" si="1"/>
        <v>3325</v>
      </c>
      <c r="N109" s="14" t="s">
        <v>30</v>
      </c>
    </row>
    <row r="110" spans="1:14" ht="16.5" customHeight="1" x14ac:dyDescent="0.2">
      <c r="A110" s="7">
        <v>109</v>
      </c>
      <c r="B110" s="8" t="s">
        <v>43</v>
      </c>
      <c r="C110" s="9" t="s">
        <v>42</v>
      </c>
      <c r="D110" s="10">
        <v>36254</v>
      </c>
      <c r="E110" s="11">
        <v>9652447749</v>
      </c>
      <c r="F110" s="12">
        <v>21</v>
      </c>
      <c r="G110" s="4" t="s">
        <v>44</v>
      </c>
      <c r="H110" s="13">
        <v>896</v>
      </c>
      <c r="I110" s="14" t="s">
        <v>38</v>
      </c>
      <c r="J110" s="14" t="s">
        <v>18</v>
      </c>
      <c r="K110" s="14">
        <v>43</v>
      </c>
      <c r="L110" s="15">
        <v>15</v>
      </c>
      <c r="M110" s="15">
        <f t="shared" si="1"/>
        <v>645</v>
      </c>
      <c r="N110" s="16" t="s">
        <v>19</v>
      </c>
    </row>
    <row r="111" spans="1:14" ht="16.5" customHeight="1" x14ac:dyDescent="0.2">
      <c r="A111" s="7">
        <v>110</v>
      </c>
      <c r="B111" s="8" t="s">
        <v>43</v>
      </c>
      <c r="C111" s="9" t="s">
        <v>42</v>
      </c>
      <c r="D111" s="10">
        <v>36263</v>
      </c>
      <c r="E111" s="11">
        <v>6293973290</v>
      </c>
      <c r="F111" s="12">
        <v>21</v>
      </c>
      <c r="G111" s="4" t="s">
        <v>44</v>
      </c>
      <c r="H111" s="13">
        <v>896</v>
      </c>
      <c r="I111" s="14" t="s">
        <v>38</v>
      </c>
      <c r="J111" s="14" t="s">
        <v>18</v>
      </c>
      <c r="K111" s="14">
        <v>13</v>
      </c>
      <c r="L111" s="15">
        <v>15</v>
      </c>
      <c r="M111" s="15">
        <f t="shared" si="1"/>
        <v>195</v>
      </c>
      <c r="N111" s="14" t="s">
        <v>25</v>
      </c>
    </row>
    <row r="112" spans="1:14" ht="16.5" customHeight="1" x14ac:dyDescent="0.2">
      <c r="A112" s="7">
        <v>111</v>
      </c>
      <c r="B112" s="8" t="s">
        <v>43</v>
      </c>
      <c r="C112" s="9" t="s">
        <v>42</v>
      </c>
      <c r="D112" s="10">
        <v>37028</v>
      </c>
      <c r="E112" s="11">
        <v>2840707925</v>
      </c>
      <c r="F112" s="12">
        <v>21</v>
      </c>
      <c r="G112" s="4" t="s">
        <v>44</v>
      </c>
      <c r="H112" s="13">
        <v>299</v>
      </c>
      <c r="I112" s="14" t="s">
        <v>28</v>
      </c>
      <c r="J112" s="14" t="s">
        <v>29</v>
      </c>
      <c r="K112" s="14">
        <v>35</v>
      </c>
      <c r="L112" s="15">
        <v>2</v>
      </c>
      <c r="M112" s="15">
        <f t="shared" si="1"/>
        <v>70</v>
      </c>
      <c r="N112" s="14" t="s">
        <v>25</v>
      </c>
    </row>
    <row r="113" spans="1:14" ht="16.5" customHeight="1" x14ac:dyDescent="0.2">
      <c r="A113" s="7">
        <v>112</v>
      </c>
      <c r="B113" s="8" t="s">
        <v>43</v>
      </c>
      <c r="C113" s="9" t="s">
        <v>42</v>
      </c>
      <c r="D113" s="10">
        <v>37046</v>
      </c>
      <c r="E113" s="11">
        <v>2208558769</v>
      </c>
      <c r="F113" s="12">
        <v>21</v>
      </c>
      <c r="G113" s="4" t="s">
        <v>44</v>
      </c>
      <c r="H113" s="13">
        <v>793</v>
      </c>
      <c r="I113" s="14" t="s">
        <v>17</v>
      </c>
      <c r="J113" s="14" t="s">
        <v>18</v>
      </c>
      <c r="K113" s="14">
        <v>55</v>
      </c>
      <c r="L113" s="15">
        <v>35</v>
      </c>
      <c r="M113" s="15">
        <f t="shared" si="1"/>
        <v>1925</v>
      </c>
      <c r="N113" s="14" t="s">
        <v>30</v>
      </c>
    </row>
    <row r="114" spans="1:14" ht="16.5" customHeight="1" x14ac:dyDescent="0.2">
      <c r="A114" s="7">
        <v>113</v>
      </c>
      <c r="B114" s="8" t="s">
        <v>43</v>
      </c>
      <c r="C114" s="9" t="s">
        <v>42</v>
      </c>
      <c r="D114" s="10">
        <v>37181</v>
      </c>
      <c r="E114" s="11">
        <v>9652447749</v>
      </c>
      <c r="F114" s="12">
        <v>21</v>
      </c>
      <c r="G114" s="4" t="s">
        <v>44</v>
      </c>
      <c r="H114" s="13">
        <v>896</v>
      </c>
      <c r="I114" s="14" t="s">
        <v>38</v>
      </c>
      <c r="J114" s="14" t="s">
        <v>18</v>
      </c>
      <c r="K114" s="14">
        <v>86</v>
      </c>
      <c r="L114" s="15">
        <v>15</v>
      </c>
      <c r="M114" s="15">
        <f t="shared" si="1"/>
        <v>1290</v>
      </c>
      <c r="N114" s="16" t="s">
        <v>19</v>
      </c>
    </row>
    <row r="115" spans="1:14" ht="16.5" customHeight="1" x14ac:dyDescent="0.2">
      <c r="A115" s="7">
        <v>114</v>
      </c>
      <c r="B115" s="8" t="s">
        <v>43</v>
      </c>
      <c r="C115" s="9" t="s">
        <v>42</v>
      </c>
      <c r="D115" s="10">
        <v>37190</v>
      </c>
      <c r="E115" s="11">
        <v>6293973290</v>
      </c>
      <c r="F115" s="12">
        <v>21</v>
      </c>
      <c r="G115" s="4" t="s">
        <v>44</v>
      </c>
      <c r="H115" s="13">
        <v>896</v>
      </c>
      <c r="I115" s="14" t="s">
        <v>38</v>
      </c>
      <c r="J115" s="14" t="s">
        <v>18</v>
      </c>
      <c r="K115" s="14">
        <v>54</v>
      </c>
      <c r="L115" s="15">
        <v>15</v>
      </c>
      <c r="M115" s="15">
        <f t="shared" si="1"/>
        <v>810</v>
      </c>
      <c r="N115" s="14" t="s">
        <v>25</v>
      </c>
    </row>
    <row r="116" spans="1:14" ht="16.5" customHeight="1" x14ac:dyDescent="0.2">
      <c r="A116" s="7">
        <v>115</v>
      </c>
      <c r="B116" s="8" t="s">
        <v>43</v>
      </c>
      <c r="C116" s="9" t="s">
        <v>42</v>
      </c>
      <c r="D116" s="10">
        <v>37955</v>
      </c>
      <c r="E116" s="11">
        <v>2840707925</v>
      </c>
      <c r="F116" s="12">
        <v>39</v>
      </c>
      <c r="G116" s="4" t="s">
        <v>45</v>
      </c>
      <c r="H116" s="13">
        <v>299</v>
      </c>
      <c r="I116" s="14" t="s">
        <v>28</v>
      </c>
      <c r="J116" s="14" t="s">
        <v>29</v>
      </c>
      <c r="K116" s="14">
        <v>82</v>
      </c>
      <c r="L116" s="15">
        <v>2</v>
      </c>
      <c r="M116" s="15">
        <f t="shared" si="1"/>
        <v>164</v>
      </c>
      <c r="N116" s="14" t="s">
        <v>25</v>
      </c>
    </row>
    <row r="117" spans="1:14" ht="16.5" customHeight="1" x14ac:dyDescent="0.2">
      <c r="A117" s="7">
        <v>116</v>
      </c>
      <c r="B117" s="8" t="s">
        <v>43</v>
      </c>
      <c r="C117" s="9" t="s">
        <v>42</v>
      </c>
      <c r="D117" s="10">
        <v>37973</v>
      </c>
      <c r="E117" s="11">
        <v>2208558769</v>
      </c>
      <c r="F117" s="12">
        <v>39</v>
      </c>
      <c r="G117" s="4" t="s">
        <v>45</v>
      </c>
      <c r="H117" s="13">
        <v>793</v>
      </c>
      <c r="I117" s="14" t="s">
        <v>17</v>
      </c>
      <c r="J117" s="14" t="s">
        <v>18</v>
      </c>
      <c r="K117" s="14">
        <v>47</v>
      </c>
      <c r="L117" s="15">
        <v>35</v>
      </c>
      <c r="M117" s="15">
        <f t="shared" si="1"/>
        <v>1645</v>
      </c>
      <c r="N117" s="14" t="s">
        <v>30</v>
      </c>
    </row>
    <row r="118" spans="1:14" ht="16.5" customHeight="1" x14ac:dyDescent="0.2">
      <c r="A118" s="7">
        <v>117</v>
      </c>
      <c r="B118" s="8" t="s">
        <v>43</v>
      </c>
      <c r="C118" s="9" t="s">
        <v>42</v>
      </c>
      <c r="D118" s="10">
        <v>38108</v>
      </c>
      <c r="E118" s="11">
        <v>9652447749</v>
      </c>
      <c r="F118" s="12">
        <v>39</v>
      </c>
      <c r="G118" s="4" t="s">
        <v>45</v>
      </c>
      <c r="H118" s="13">
        <v>896</v>
      </c>
      <c r="I118" s="14" t="s">
        <v>38</v>
      </c>
      <c r="J118" s="14" t="s">
        <v>18</v>
      </c>
      <c r="K118" s="14">
        <v>83</v>
      </c>
      <c r="L118" s="15">
        <v>15</v>
      </c>
      <c r="M118" s="15">
        <f t="shared" si="1"/>
        <v>1245</v>
      </c>
      <c r="N118" s="16" t="s">
        <v>19</v>
      </c>
    </row>
    <row r="119" spans="1:14" ht="16.5" customHeight="1" x14ac:dyDescent="0.2">
      <c r="A119" s="7">
        <v>118</v>
      </c>
      <c r="B119" s="8" t="s">
        <v>43</v>
      </c>
      <c r="C119" s="9" t="s">
        <v>42</v>
      </c>
      <c r="D119" s="10">
        <v>38117</v>
      </c>
      <c r="E119" s="11">
        <v>6293973290</v>
      </c>
      <c r="F119" s="12">
        <v>39</v>
      </c>
      <c r="G119" s="4" t="s">
        <v>45</v>
      </c>
      <c r="H119" s="13">
        <v>896</v>
      </c>
      <c r="I119" s="14" t="s">
        <v>38</v>
      </c>
      <c r="J119" s="14" t="s">
        <v>18</v>
      </c>
      <c r="K119" s="14">
        <v>31</v>
      </c>
      <c r="L119" s="15">
        <v>15</v>
      </c>
      <c r="M119" s="15">
        <f t="shared" si="1"/>
        <v>465</v>
      </c>
      <c r="N119" s="14" t="s">
        <v>25</v>
      </c>
    </row>
    <row r="120" spans="1:14" ht="16.5" customHeight="1" x14ac:dyDescent="0.2">
      <c r="A120" s="7">
        <v>119</v>
      </c>
      <c r="B120" s="8" t="s">
        <v>43</v>
      </c>
      <c r="C120" s="9" t="s">
        <v>42</v>
      </c>
      <c r="D120" s="10">
        <v>38882</v>
      </c>
      <c r="E120" s="11">
        <v>2840707925</v>
      </c>
      <c r="F120" s="12">
        <v>39</v>
      </c>
      <c r="G120" s="4" t="s">
        <v>45</v>
      </c>
      <c r="H120" s="13">
        <v>299</v>
      </c>
      <c r="I120" s="14" t="s">
        <v>28</v>
      </c>
      <c r="J120" s="14" t="s">
        <v>29</v>
      </c>
      <c r="K120" s="14">
        <v>55</v>
      </c>
      <c r="L120" s="15">
        <v>2</v>
      </c>
      <c r="M120" s="15">
        <f t="shared" si="1"/>
        <v>110</v>
      </c>
      <c r="N120" s="14" t="s">
        <v>25</v>
      </c>
    </row>
    <row r="121" spans="1:14" ht="16.5" customHeight="1" x14ac:dyDescent="0.2">
      <c r="A121" s="7">
        <v>120</v>
      </c>
      <c r="B121" s="8" t="s">
        <v>43</v>
      </c>
      <c r="C121" s="9" t="s">
        <v>42</v>
      </c>
      <c r="D121" s="10">
        <v>38900</v>
      </c>
      <c r="E121" s="11">
        <v>2208558769</v>
      </c>
      <c r="F121" s="12">
        <v>39</v>
      </c>
      <c r="G121" s="4" t="s">
        <v>45</v>
      </c>
      <c r="H121" s="13">
        <v>793</v>
      </c>
      <c r="I121" s="14" t="s">
        <v>17</v>
      </c>
      <c r="J121" s="14" t="s">
        <v>18</v>
      </c>
      <c r="K121" s="14">
        <v>51</v>
      </c>
      <c r="L121" s="15">
        <v>35</v>
      </c>
      <c r="M121" s="15">
        <f t="shared" si="1"/>
        <v>1785</v>
      </c>
      <c r="N121" s="14" t="s">
        <v>30</v>
      </c>
    </row>
    <row r="122" spans="1:14" ht="16.5" customHeight="1" x14ac:dyDescent="0.2">
      <c r="A122" s="7">
        <v>121</v>
      </c>
      <c r="B122" s="8" t="s">
        <v>43</v>
      </c>
      <c r="C122" s="9" t="s">
        <v>42</v>
      </c>
      <c r="D122" s="10">
        <v>39035</v>
      </c>
      <c r="E122" s="11">
        <v>9652447749</v>
      </c>
      <c r="F122" s="12">
        <v>39</v>
      </c>
      <c r="G122" s="4" t="s">
        <v>45</v>
      </c>
      <c r="H122" s="13">
        <v>896</v>
      </c>
      <c r="I122" s="14" t="s">
        <v>38</v>
      </c>
      <c r="J122" s="14" t="s">
        <v>18</v>
      </c>
      <c r="K122" s="14">
        <v>19</v>
      </c>
      <c r="L122" s="15">
        <v>15</v>
      </c>
      <c r="M122" s="15">
        <f t="shared" si="1"/>
        <v>285</v>
      </c>
      <c r="N122" s="16" t="s">
        <v>19</v>
      </c>
    </row>
    <row r="123" spans="1:14" ht="16.5" customHeight="1" x14ac:dyDescent="0.2">
      <c r="A123" s="7">
        <v>122</v>
      </c>
      <c r="B123" s="8" t="s">
        <v>43</v>
      </c>
      <c r="C123" s="9" t="s">
        <v>42</v>
      </c>
      <c r="D123" s="10">
        <v>39044</v>
      </c>
      <c r="E123" s="11">
        <v>6293973290</v>
      </c>
      <c r="F123" s="12">
        <v>39</v>
      </c>
      <c r="G123" s="4" t="s">
        <v>45</v>
      </c>
      <c r="H123" s="13">
        <v>896</v>
      </c>
      <c r="I123" s="14" t="s">
        <v>38</v>
      </c>
      <c r="J123" s="14" t="s">
        <v>18</v>
      </c>
      <c r="K123" s="14">
        <v>31</v>
      </c>
      <c r="L123" s="15">
        <v>15</v>
      </c>
      <c r="M123" s="15">
        <f t="shared" si="1"/>
        <v>465</v>
      </c>
      <c r="N123" s="14" t="s">
        <v>25</v>
      </c>
    </row>
    <row r="124" spans="1:14" ht="16.5" customHeight="1" x14ac:dyDescent="0.2">
      <c r="A124" s="7">
        <v>123</v>
      </c>
      <c r="B124" s="8" t="s">
        <v>43</v>
      </c>
      <c r="C124" s="9" t="s">
        <v>42</v>
      </c>
      <c r="D124" s="10">
        <v>39809</v>
      </c>
      <c r="E124" s="11">
        <v>2840707925</v>
      </c>
      <c r="F124" s="12">
        <v>39</v>
      </c>
      <c r="G124" s="4" t="s">
        <v>45</v>
      </c>
      <c r="H124" s="13">
        <v>299</v>
      </c>
      <c r="I124" s="14" t="s">
        <v>28</v>
      </c>
      <c r="J124" s="14" t="s">
        <v>29</v>
      </c>
      <c r="K124" s="14">
        <v>96</v>
      </c>
      <c r="L124" s="15">
        <v>2</v>
      </c>
      <c r="M124" s="15">
        <f t="shared" si="1"/>
        <v>192</v>
      </c>
      <c r="N124" s="14" t="s">
        <v>25</v>
      </c>
    </row>
    <row r="125" spans="1:14" ht="16.5" customHeight="1" x14ac:dyDescent="0.2">
      <c r="A125" s="7">
        <v>124</v>
      </c>
      <c r="B125" s="8" t="s">
        <v>43</v>
      </c>
      <c r="C125" s="9" t="s">
        <v>42</v>
      </c>
      <c r="D125" s="10">
        <v>39827</v>
      </c>
      <c r="E125" s="11">
        <v>2208558769</v>
      </c>
      <c r="F125" s="12">
        <v>21</v>
      </c>
      <c r="G125" s="4" t="s">
        <v>44</v>
      </c>
      <c r="H125" s="13">
        <v>793</v>
      </c>
      <c r="I125" s="14" t="s">
        <v>17</v>
      </c>
      <c r="J125" s="14" t="s">
        <v>18</v>
      </c>
      <c r="K125" s="14">
        <v>26</v>
      </c>
      <c r="L125" s="15">
        <v>35</v>
      </c>
      <c r="M125" s="15">
        <f t="shared" si="1"/>
        <v>910</v>
      </c>
      <c r="N125" s="14" t="s">
        <v>30</v>
      </c>
    </row>
    <row r="126" spans="1:14" ht="16.5" customHeight="1" x14ac:dyDescent="0.2">
      <c r="A126" s="7">
        <v>125</v>
      </c>
      <c r="B126" s="8" t="s">
        <v>43</v>
      </c>
      <c r="C126" s="9" t="s">
        <v>42</v>
      </c>
      <c r="D126" s="10">
        <v>39962</v>
      </c>
      <c r="E126" s="11">
        <v>9652447749</v>
      </c>
      <c r="F126" s="12">
        <v>21</v>
      </c>
      <c r="G126" s="4" t="s">
        <v>44</v>
      </c>
      <c r="H126" s="13">
        <v>896</v>
      </c>
      <c r="I126" s="14" t="s">
        <v>38</v>
      </c>
      <c r="J126" s="14" t="s">
        <v>18</v>
      </c>
      <c r="K126" s="14">
        <v>76</v>
      </c>
      <c r="L126" s="15">
        <v>15</v>
      </c>
      <c r="M126" s="15">
        <f t="shared" si="1"/>
        <v>1140</v>
      </c>
      <c r="N126" s="16" t="s">
        <v>19</v>
      </c>
    </row>
    <row r="127" spans="1:14" ht="16.5" customHeight="1" x14ac:dyDescent="0.2">
      <c r="A127" s="7">
        <v>126</v>
      </c>
      <c r="B127" s="8" t="s">
        <v>43</v>
      </c>
      <c r="C127" s="9" t="s">
        <v>42</v>
      </c>
      <c r="D127" s="10">
        <v>39971</v>
      </c>
      <c r="E127" s="11">
        <v>6293973290</v>
      </c>
      <c r="F127" s="12">
        <v>21</v>
      </c>
      <c r="G127" s="4" t="s">
        <v>44</v>
      </c>
      <c r="H127" s="13">
        <v>896</v>
      </c>
      <c r="I127" s="14" t="s">
        <v>38</v>
      </c>
      <c r="J127" s="14" t="s">
        <v>18</v>
      </c>
      <c r="K127" s="14">
        <v>28</v>
      </c>
      <c r="L127" s="15">
        <v>15</v>
      </c>
      <c r="M127" s="15">
        <f t="shared" si="1"/>
        <v>420</v>
      </c>
      <c r="N127" s="14" t="s">
        <v>25</v>
      </c>
    </row>
    <row r="128" spans="1:14" ht="16.5" customHeight="1" x14ac:dyDescent="0.2">
      <c r="A128" s="7">
        <v>127</v>
      </c>
      <c r="B128" s="8" t="s">
        <v>46</v>
      </c>
      <c r="C128" s="9" t="s">
        <v>42</v>
      </c>
      <c r="D128" s="10">
        <v>35003</v>
      </c>
      <c r="E128" s="11">
        <v>3915253150</v>
      </c>
      <c r="F128" s="12">
        <v>21</v>
      </c>
      <c r="G128" s="4" t="s">
        <v>44</v>
      </c>
      <c r="H128" s="13">
        <v>577</v>
      </c>
      <c r="I128" s="14" t="s">
        <v>47</v>
      </c>
      <c r="J128" s="14" t="s">
        <v>18</v>
      </c>
      <c r="K128" s="14">
        <v>50</v>
      </c>
      <c r="L128" s="15">
        <v>40</v>
      </c>
      <c r="M128" s="15">
        <f t="shared" si="1"/>
        <v>2000</v>
      </c>
      <c r="N128" s="14" t="s">
        <v>25</v>
      </c>
    </row>
    <row r="129" spans="1:14" ht="16.5" customHeight="1" x14ac:dyDescent="0.2">
      <c r="A129" s="7">
        <v>128</v>
      </c>
      <c r="B129" s="8" t="s">
        <v>46</v>
      </c>
      <c r="C129" s="9" t="s">
        <v>42</v>
      </c>
      <c r="D129" s="10">
        <v>35930</v>
      </c>
      <c r="E129" s="11">
        <v>3915253150</v>
      </c>
      <c r="F129" s="12">
        <v>21</v>
      </c>
      <c r="G129" s="4" t="s">
        <v>44</v>
      </c>
      <c r="H129" s="13">
        <v>577</v>
      </c>
      <c r="I129" s="14" t="s">
        <v>47</v>
      </c>
      <c r="J129" s="14" t="s">
        <v>18</v>
      </c>
      <c r="K129" s="14">
        <v>13</v>
      </c>
      <c r="L129" s="15">
        <v>40</v>
      </c>
      <c r="M129" s="15">
        <f t="shared" si="1"/>
        <v>520</v>
      </c>
      <c r="N129" s="14" t="s">
        <v>25</v>
      </c>
    </row>
    <row r="130" spans="1:14" ht="16.5" customHeight="1" x14ac:dyDescent="0.2">
      <c r="A130" s="7">
        <v>129</v>
      </c>
      <c r="B130" s="8" t="s">
        <v>46</v>
      </c>
      <c r="C130" s="9" t="s">
        <v>42</v>
      </c>
      <c r="D130" s="10">
        <v>36857</v>
      </c>
      <c r="E130" s="11">
        <v>3915253150</v>
      </c>
      <c r="F130" s="12">
        <v>21</v>
      </c>
      <c r="G130" s="4" t="s">
        <v>44</v>
      </c>
      <c r="H130" s="13">
        <v>577</v>
      </c>
      <c r="I130" s="14" t="s">
        <v>47</v>
      </c>
      <c r="J130" s="14" t="s">
        <v>18</v>
      </c>
      <c r="K130" s="14">
        <v>75</v>
      </c>
      <c r="L130" s="15">
        <v>40</v>
      </c>
      <c r="M130" s="15">
        <f t="shared" ref="M130:M193" si="2">L130*K130</f>
        <v>3000</v>
      </c>
      <c r="N130" s="14" t="s">
        <v>25</v>
      </c>
    </row>
    <row r="131" spans="1:14" ht="16.5" customHeight="1" x14ac:dyDescent="0.2">
      <c r="A131" s="7">
        <v>130</v>
      </c>
      <c r="B131" s="8" t="s">
        <v>46</v>
      </c>
      <c r="C131" s="9" t="s">
        <v>42</v>
      </c>
      <c r="D131" s="10">
        <v>37784</v>
      </c>
      <c r="E131" s="11">
        <v>3915253150</v>
      </c>
      <c r="F131" s="12">
        <v>21</v>
      </c>
      <c r="G131" s="4" t="s">
        <v>44</v>
      </c>
      <c r="H131" s="13">
        <v>577</v>
      </c>
      <c r="I131" s="14" t="s">
        <v>47</v>
      </c>
      <c r="J131" s="14" t="s">
        <v>18</v>
      </c>
      <c r="K131" s="14">
        <v>65</v>
      </c>
      <c r="L131" s="15">
        <v>40</v>
      </c>
      <c r="M131" s="15">
        <f t="shared" si="2"/>
        <v>2600</v>
      </c>
      <c r="N131" s="14" t="s">
        <v>25</v>
      </c>
    </row>
    <row r="132" spans="1:14" ht="16.5" customHeight="1" x14ac:dyDescent="0.2">
      <c r="A132" s="7">
        <v>131</v>
      </c>
      <c r="B132" s="8" t="s">
        <v>46</v>
      </c>
      <c r="C132" s="9" t="s">
        <v>42</v>
      </c>
      <c r="D132" s="10">
        <v>38711</v>
      </c>
      <c r="E132" s="11">
        <v>3915253150</v>
      </c>
      <c r="F132" s="12">
        <v>21</v>
      </c>
      <c r="G132" s="4" t="s">
        <v>44</v>
      </c>
      <c r="H132" s="13">
        <v>577</v>
      </c>
      <c r="I132" s="14" t="s">
        <v>47</v>
      </c>
      <c r="J132" s="14" t="s">
        <v>18</v>
      </c>
      <c r="K132" s="14">
        <v>42</v>
      </c>
      <c r="L132" s="15">
        <v>40</v>
      </c>
      <c r="M132" s="15">
        <f t="shared" si="2"/>
        <v>1680</v>
      </c>
      <c r="N132" s="14" t="s">
        <v>25</v>
      </c>
    </row>
    <row r="133" spans="1:14" ht="16.5" customHeight="1" x14ac:dyDescent="0.2">
      <c r="A133" s="7">
        <v>132</v>
      </c>
      <c r="B133" s="8" t="s">
        <v>46</v>
      </c>
      <c r="C133" s="9" t="s">
        <v>42</v>
      </c>
      <c r="D133" s="10">
        <v>39638</v>
      </c>
      <c r="E133" s="11">
        <v>3915253150</v>
      </c>
      <c r="F133" s="12">
        <v>21</v>
      </c>
      <c r="G133" s="4" t="s">
        <v>44</v>
      </c>
      <c r="H133" s="13">
        <v>577</v>
      </c>
      <c r="I133" s="14" t="s">
        <v>47</v>
      </c>
      <c r="J133" s="14" t="s">
        <v>18</v>
      </c>
      <c r="K133" s="14">
        <v>62</v>
      </c>
      <c r="L133" s="15">
        <v>40</v>
      </c>
      <c r="M133" s="15">
        <f t="shared" si="2"/>
        <v>2480</v>
      </c>
      <c r="N133" s="14" t="s">
        <v>25</v>
      </c>
    </row>
    <row r="134" spans="1:14" ht="16.5" customHeight="1" x14ac:dyDescent="0.2">
      <c r="A134" s="7">
        <v>133</v>
      </c>
      <c r="B134" s="8" t="s">
        <v>48</v>
      </c>
      <c r="C134" s="9" t="s">
        <v>42</v>
      </c>
      <c r="D134" s="10">
        <v>35525</v>
      </c>
      <c r="E134" s="11">
        <v>1528715980</v>
      </c>
      <c r="F134" s="12">
        <v>29</v>
      </c>
      <c r="G134" s="4" t="s">
        <v>49</v>
      </c>
      <c r="H134" s="13">
        <v>521</v>
      </c>
      <c r="I134" s="14" t="s">
        <v>22</v>
      </c>
      <c r="J134" s="14" t="s">
        <v>23</v>
      </c>
      <c r="K134" s="14">
        <v>72</v>
      </c>
      <c r="L134" s="15">
        <v>30</v>
      </c>
      <c r="M134" s="15">
        <f t="shared" si="2"/>
        <v>2160</v>
      </c>
      <c r="N134" s="14" t="s">
        <v>30</v>
      </c>
    </row>
    <row r="135" spans="1:14" ht="16.5" customHeight="1" x14ac:dyDescent="0.2">
      <c r="A135" s="7">
        <v>134</v>
      </c>
      <c r="B135" s="8" t="s">
        <v>48</v>
      </c>
      <c r="C135" s="9" t="s">
        <v>42</v>
      </c>
      <c r="D135" s="10">
        <v>36452</v>
      </c>
      <c r="E135" s="11">
        <v>1528715980</v>
      </c>
      <c r="F135" s="12">
        <v>29</v>
      </c>
      <c r="G135" s="4" t="s">
        <v>49</v>
      </c>
      <c r="H135" s="13">
        <v>521</v>
      </c>
      <c r="I135" s="14" t="s">
        <v>22</v>
      </c>
      <c r="J135" s="14" t="s">
        <v>23</v>
      </c>
      <c r="K135" s="14">
        <v>95</v>
      </c>
      <c r="L135" s="15">
        <v>30</v>
      </c>
      <c r="M135" s="15">
        <f t="shared" si="2"/>
        <v>2850</v>
      </c>
      <c r="N135" s="14" t="s">
        <v>30</v>
      </c>
    </row>
    <row r="136" spans="1:14" ht="16.5" customHeight="1" x14ac:dyDescent="0.2">
      <c r="A136" s="7">
        <v>135</v>
      </c>
      <c r="B136" s="8" t="s">
        <v>48</v>
      </c>
      <c r="C136" s="9" t="s">
        <v>42</v>
      </c>
      <c r="D136" s="10">
        <v>37379</v>
      </c>
      <c r="E136" s="11">
        <v>1528715980</v>
      </c>
      <c r="F136" s="12">
        <v>29</v>
      </c>
      <c r="G136" s="4" t="s">
        <v>49</v>
      </c>
      <c r="H136" s="13">
        <v>521</v>
      </c>
      <c r="I136" s="14" t="s">
        <v>22</v>
      </c>
      <c r="J136" s="14" t="s">
        <v>23</v>
      </c>
      <c r="K136" s="14">
        <v>77</v>
      </c>
      <c r="L136" s="15">
        <v>30</v>
      </c>
      <c r="M136" s="15">
        <f t="shared" si="2"/>
        <v>2310</v>
      </c>
      <c r="N136" s="14" t="s">
        <v>30</v>
      </c>
    </row>
    <row r="137" spans="1:14" ht="16.5" customHeight="1" x14ac:dyDescent="0.2">
      <c r="A137" s="7">
        <v>136</v>
      </c>
      <c r="B137" s="8" t="s">
        <v>48</v>
      </c>
      <c r="C137" s="9" t="s">
        <v>42</v>
      </c>
      <c r="D137" s="10">
        <v>38306</v>
      </c>
      <c r="E137" s="11">
        <v>1528715980</v>
      </c>
      <c r="F137" s="12">
        <v>29</v>
      </c>
      <c r="G137" s="4" t="s">
        <v>49</v>
      </c>
      <c r="H137" s="13">
        <v>521</v>
      </c>
      <c r="I137" s="14" t="s">
        <v>22</v>
      </c>
      <c r="J137" s="14" t="s">
        <v>23</v>
      </c>
      <c r="K137" s="14">
        <v>16</v>
      </c>
      <c r="L137" s="15">
        <v>30</v>
      </c>
      <c r="M137" s="15">
        <f t="shared" si="2"/>
        <v>480</v>
      </c>
      <c r="N137" s="14" t="s">
        <v>30</v>
      </c>
    </row>
    <row r="138" spans="1:14" ht="16.5" customHeight="1" x14ac:dyDescent="0.2">
      <c r="A138" s="7">
        <v>137</v>
      </c>
      <c r="B138" s="8" t="s">
        <v>48</v>
      </c>
      <c r="C138" s="9" t="s">
        <v>42</v>
      </c>
      <c r="D138" s="10">
        <v>39233</v>
      </c>
      <c r="E138" s="11">
        <v>1528715980</v>
      </c>
      <c r="F138" s="12">
        <v>29</v>
      </c>
      <c r="G138" s="4" t="s">
        <v>49</v>
      </c>
      <c r="H138" s="13">
        <v>521</v>
      </c>
      <c r="I138" s="14" t="s">
        <v>22</v>
      </c>
      <c r="J138" s="14" t="s">
        <v>23</v>
      </c>
      <c r="K138" s="14">
        <v>95</v>
      </c>
      <c r="L138" s="15">
        <v>30</v>
      </c>
      <c r="M138" s="15">
        <f t="shared" si="2"/>
        <v>2850</v>
      </c>
      <c r="N138" s="14" t="s">
        <v>30</v>
      </c>
    </row>
    <row r="139" spans="1:14" ht="16.5" customHeight="1" x14ac:dyDescent="0.2">
      <c r="A139" s="7">
        <v>138</v>
      </c>
      <c r="B139" s="8" t="s">
        <v>48</v>
      </c>
      <c r="C139" s="9" t="s">
        <v>42</v>
      </c>
      <c r="D139" s="10">
        <v>40160</v>
      </c>
      <c r="E139" s="11">
        <v>1528715980</v>
      </c>
      <c r="F139" s="12">
        <v>29</v>
      </c>
      <c r="G139" s="4" t="s">
        <v>49</v>
      </c>
      <c r="H139" s="13">
        <v>521</v>
      </c>
      <c r="I139" s="14" t="s">
        <v>22</v>
      </c>
      <c r="J139" s="14" t="s">
        <v>23</v>
      </c>
      <c r="K139" s="14">
        <v>26</v>
      </c>
      <c r="L139" s="15">
        <v>30</v>
      </c>
      <c r="M139" s="15">
        <f t="shared" si="2"/>
        <v>780</v>
      </c>
      <c r="N139" s="14" t="s">
        <v>30</v>
      </c>
    </row>
    <row r="140" spans="1:14" ht="16.5" customHeight="1" x14ac:dyDescent="0.2">
      <c r="A140" s="7">
        <v>139</v>
      </c>
      <c r="B140" s="8" t="s">
        <v>41</v>
      </c>
      <c r="C140" s="9" t="s">
        <v>42</v>
      </c>
      <c r="D140" s="10">
        <v>35579</v>
      </c>
      <c r="E140" s="11">
        <v>3896627272</v>
      </c>
      <c r="F140" s="12">
        <v>29</v>
      </c>
      <c r="G140" s="4" t="s">
        <v>49</v>
      </c>
      <c r="H140" s="13">
        <v>195</v>
      </c>
      <c r="I140" s="14" t="s">
        <v>36</v>
      </c>
      <c r="J140" s="14" t="s">
        <v>18</v>
      </c>
      <c r="K140" s="14">
        <v>27</v>
      </c>
      <c r="L140" s="15">
        <v>60</v>
      </c>
      <c r="M140" s="15">
        <f t="shared" si="2"/>
        <v>1620</v>
      </c>
      <c r="N140" s="14" t="s">
        <v>25</v>
      </c>
    </row>
    <row r="141" spans="1:14" ht="16.5" customHeight="1" x14ac:dyDescent="0.2">
      <c r="A141" s="7">
        <v>140</v>
      </c>
      <c r="B141" s="8" t="s">
        <v>41</v>
      </c>
      <c r="C141" s="9" t="s">
        <v>42</v>
      </c>
      <c r="D141" s="10">
        <v>35606</v>
      </c>
      <c r="E141" s="11">
        <v>6023412162</v>
      </c>
      <c r="F141" s="12">
        <v>29</v>
      </c>
      <c r="G141" s="4" t="s">
        <v>49</v>
      </c>
      <c r="H141" s="13">
        <v>454</v>
      </c>
      <c r="I141" s="14" t="s">
        <v>38</v>
      </c>
      <c r="J141" s="14" t="s">
        <v>18</v>
      </c>
      <c r="K141" s="14">
        <v>79</v>
      </c>
      <c r="L141" s="15">
        <v>15</v>
      </c>
      <c r="M141" s="15">
        <f t="shared" si="2"/>
        <v>1185</v>
      </c>
      <c r="N141" s="14" t="s">
        <v>25</v>
      </c>
    </row>
    <row r="142" spans="1:14" ht="16.5" customHeight="1" x14ac:dyDescent="0.2">
      <c r="A142" s="7">
        <v>141</v>
      </c>
      <c r="B142" s="8" t="s">
        <v>41</v>
      </c>
      <c r="C142" s="9" t="s">
        <v>42</v>
      </c>
      <c r="D142" s="10">
        <v>36506</v>
      </c>
      <c r="E142" s="11">
        <v>3896627272</v>
      </c>
      <c r="F142" s="12">
        <v>29</v>
      </c>
      <c r="G142" s="4" t="s">
        <v>49</v>
      </c>
      <c r="H142" s="13">
        <v>195</v>
      </c>
      <c r="I142" s="14" t="s">
        <v>36</v>
      </c>
      <c r="J142" s="14" t="s">
        <v>18</v>
      </c>
      <c r="K142" s="14">
        <v>59</v>
      </c>
      <c r="L142" s="15">
        <v>60</v>
      </c>
      <c r="M142" s="15">
        <f t="shared" si="2"/>
        <v>3540</v>
      </c>
      <c r="N142" s="14" t="s">
        <v>25</v>
      </c>
    </row>
    <row r="143" spans="1:14" ht="16.5" customHeight="1" x14ac:dyDescent="0.2">
      <c r="A143" s="7">
        <v>142</v>
      </c>
      <c r="B143" s="8" t="s">
        <v>41</v>
      </c>
      <c r="C143" s="9" t="s">
        <v>42</v>
      </c>
      <c r="D143" s="10">
        <v>36533</v>
      </c>
      <c r="E143" s="11">
        <v>6023412162</v>
      </c>
      <c r="F143" s="12">
        <v>29</v>
      </c>
      <c r="G143" s="4" t="s">
        <v>49</v>
      </c>
      <c r="H143" s="13">
        <v>454</v>
      </c>
      <c r="I143" s="14" t="s">
        <v>38</v>
      </c>
      <c r="J143" s="14" t="s">
        <v>18</v>
      </c>
      <c r="K143" s="14">
        <v>54</v>
      </c>
      <c r="L143" s="15">
        <v>15</v>
      </c>
      <c r="M143" s="15">
        <f t="shared" si="2"/>
        <v>810</v>
      </c>
      <c r="N143" s="14" t="s">
        <v>25</v>
      </c>
    </row>
    <row r="144" spans="1:14" ht="16.5" customHeight="1" x14ac:dyDescent="0.2">
      <c r="A144" s="7">
        <v>143</v>
      </c>
      <c r="B144" s="8" t="s">
        <v>41</v>
      </c>
      <c r="C144" s="9" t="s">
        <v>42</v>
      </c>
      <c r="D144" s="10">
        <v>37433</v>
      </c>
      <c r="E144" s="11">
        <v>3896627272</v>
      </c>
      <c r="F144" s="12">
        <v>29</v>
      </c>
      <c r="G144" s="4" t="s">
        <v>49</v>
      </c>
      <c r="H144" s="13">
        <v>195</v>
      </c>
      <c r="I144" s="14" t="s">
        <v>36</v>
      </c>
      <c r="J144" s="14" t="s">
        <v>18</v>
      </c>
      <c r="K144" s="14">
        <v>92</v>
      </c>
      <c r="L144" s="15">
        <v>60</v>
      </c>
      <c r="M144" s="15">
        <f t="shared" si="2"/>
        <v>5520</v>
      </c>
      <c r="N144" s="14" t="s">
        <v>25</v>
      </c>
    </row>
    <row r="145" spans="1:14" ht="16.5" customHeight="1" x14ac:dyDescent="0.2">
      <c r="A145" s="7">
        <v>144</v>
      </c>
      <c r="B145" s="8" t="s">
        <v>41</v>
      </c>
      <c r="C145" s="9" t="s">
        <v>42</v>
      </c>
      <c r="D145" s="10">
        <v>37460</v>
      </c>
      <c r="E145" s="11">
        <v>6023412162</v>
      </c>
      <c r="F145" s="12">
        <v>29</v>
      </c>
      <c r="G145" s="4" t="s">
        <v>49</v>
      </c>
      <c r="H145" s="13">
        <v>454</v>
      </c>
      <c r="I145" s="14" t="s">
        <v>38</v>
      </c>
      <c r="J145" s="14" t="s">
        <v>18</v>
      </c>
      <c r="K145" s="14">
        <v>52</v>
      </c>
      <c r="L145" s="15">
        <v>15</v>
      </c>
      <c r="M145" s="15">
        <f t="shared" si="2"/>
        <v>780</v>
      </c>
      <c r="N145" s="14" t="s">
        <v>25</v>
      </c>
    </row>
    <row r="146" spans="1:14" ht="16.5" customHeight="1" x14ac:dyDescent="0.2">
      <c r="A146" s="7">
        <v>145</v>
      </c>
      <c r="B146" s="8" t="s">
        <v>41</v>
      </c>
      <c r="C146" s="9" t="s">
        <v>42</v>
      </c>
      <c r="D146" s="10">
        <v>38360</v>
      </c>
      <c r="E146" s="11">
        <v>3896627272</v>
      </c>
      <c r="F146" s="12">
        <v>29</v>
      </c>
      <c r="G146" s="4" t="s">
        <v>49</v>
      </c>
      <c r="H146" s="13">
        <v>195</v>
      </c>
      <c r="I146" s="14" t="s">
        <v>36</v>
      </c>
      <c r="J146" s="14" t="s">
        <v>18</v>
      </c>
      <c r="K146" s="14">
        <v>97</v>
      </c>
      <c r="L146" s="15">
        <v>60</v>
      </c>
      <c r="M146" s="15">
        <f t="shared" si="2"/>
        <v>5820</v>
      </c>
      <c r="N146" s="14" t="s">
        <v>25</v>
      </c>
    </row>
    <row r="147" spans="1:14" ht="16.5" customHeight="1" x14ac:dyDescent="0.2">
      <c r="A147" s="7">
        <v>146</v>
      </c>
      <c r="B147" s="8" t="s">
        <v>41</v>
      </c>
      <c r="C147" s="9" t="s">
        <v>42</v>
      </c>
      <c r="D147" s="10">
        <v>38387</v>
      </c>
      <c r="E147" s="11">
        <v>6023412162</v>
      </c>
      <c r="F147" s="12">
        <v>29</v>
      </c>
      <c r="G147" s="4" t="s">
        <v>49</v>
      </c>
      <c r="H147" s="13">
        <v>454</v>
      </c>
      <c r="I147" s="14" t="s">
        <v>38</v>
      </c>
      <c r="J147" s="14" t="s">
        <v>18</v>
      </c>
      <c r="K147" s="14">
        <v>85</v>
      </c>
      <c r="L147" s="15">
        <v>15</v>
      </c>
      <c r="M147" s="15">
        <f t="shared" si="2"/>
        <v>1275</v>
      </c>
      <c r="N147" s="14" t="s">
        <v>25</v>
      </c>
    </row>
    <row r="148" spans="1:14" ht="16.5" customHeight="1" x14ac:dyDescent="0.2">
      <c r="A148" s="7">
        <v>147</v>
      </c>
      <c r="B148" s="8" t="s">
        <v>41</v>
      </c>
      <c r="C148" s="9" t="s">
        <v>42</v>
      </c>
      <c r="D148" s="10">
        <v>39287</v>
      </c>
      <c r="E148" s="11">
        <v>3896627272</v>
      </c>
      <c r="F148" s="12">
        <v>29</v>
      </c>
      <c r="G148" s="4" t="s">
        <v>49</v>
      </c>
      <c r="H148" s="13">
        <v>195</v>
      </c>
      <c r="I148" s="14" t="s">
        <v>36</v>
      </c>
      <c r="J148" s="14" t="s">
        <v>18</v>
      </c>
      <c r="K148" s="14">
        <v>58</v>
      </c>
      <c r="L148" s="15">
        <v>60</v>
      </c>
      <c r="M148" s="15">
        <f t="shared" si="2"/>
        <v>3480</v>
      </c>
      <c r="N148" s="14" t="s">
        <v>25</v>
      </c>
    </row>
    <row r="149" spans="1:14" ht="16.5" customHeight="1" x14ac:dyDescent="0.2">
      <c r="A149" s="7">
        <v>148</v>
      </c>
      <c r="B149" s="8" t="s">
        <v>41</v>
      </c>
      <c r="C149" s="9" t="s">
        <v>42</v>
      </c>
      <c r="D149" s="10">
        <v>39314</v>
      </c>
      <c r="E149" s="11">
        <v>6023412162</v>
      </c>
      <c r="F149" s="12">
        <v>29</v>
      </c>
      <c r="G149" s="4" t="s">
        <v>49</v>
      </c>
      <c r="H149" s="13">
        <v>454</v>
      </c>
      <c r="I149" s="14" t="s">
        <v>38</v>
      </c>
      <c r="J149" s="14" t="s">
        <v>18</v>
      </c>
      <c r="K149" s="14">
        <v>92</v>
      </c>
      <c r="L149" s="15">
        <v>15</v>
      </c>
      <c r="M149" s="15">
        <f t="shared" si="2"/>
        <v>1380</v>
      </c>
      <c r="N149" s="14" t="s">
        <v>25</v>
      </c>
    </row>
    <row r="150" spans="1:14" ht="16.5" customHeight="1" x14ac:dyDescent="0.2">
      <c r="A150" s="7">
        <v>149</v>
      </c>
      <c r="B150" s="8" t="s">
        <v>41</v>
      </c>
      <c r="C150" s="9" t="s">
        <v>42</v>
      </c>
      <c r="D150" s="10">
        <v>40214</v>
      </c>
      <c r="E150" s="11">
        <v>3896627272</v>
      </c>
      <c r="F150" s="12">
        <v>29</v>
      </c>
      <c r="G150" s="4" t="s">
        <v>49</v>
      </c>
      <c r="H150" s="13">
        <v>195</v>
      </c>
      <c r="I150" s="14" t="s">
        <v>36</v>
      </c>
      <c r="J150" s="14" t="s">
        <v>18</v>
      </c>
      <c r="K150" s="14">
        <v>73</v>
      </c>
      <c r="L150" s="15">
        <v>60</v>
      </c>
      <c r="M150" s="15">
        <f t="shared" si="2"/>
        <v>4380</v>
      </c>
      <c r="N150" s="14" t="s">
        <v>25</v>
      </c>
    </row>
    <row r="151" spans="1:14" ht="16.5" customHeight="1" x14ac:dyDescent="0.2">
      <c r="A151" s="7">
        <v>150</v>
      </c>
      <c r="B151" s="8" t="s">
        <v>41</v>
      </c>
      <c r="C151" s="9" t="s">
        <v>42</v>
      </c>
      <c r="D151" s="10">
        <v>40241</v>
      </c>
      <c r="E151" s="11">
        <v>6023412162</v>
      </c>
      <c r="F151" s="12">
        <v>29</v>
      </c>
      <c r="G151" s="4" t="s">
        <v>49</v>
      </c>
      <c r="H151" s="13">
        <v>454</v>
      </c>
      <c r="I151" s="14" t="s">
        <v>38</v>
      </c>
      <c r="J151" s="14" t="s">
        <v>18</v>
      </c>
      <c r="K151" s="14">
        <v>71</v>
      </c>
      <c r="L151" s="15">
        <v>15</v>
      </c>
      <c r="M151" s="15">
        <f t="shared" si="2"/>
        <v>1065</v>
      </c>
      <c r="N151" s="14" t="s">
        <v>25</v>
      </c>
    </row>
    <row r="152" spans="1:14" ht="16.5" customHeight="1" x14ac:dyDescent="0.2">
      <c r="A152" s="7">
        <v>151</v>
      </c>
      <c r="B152" s="8" t="s">
        <v>50</v>
      </c>
      <c r="C152" s="9" t="s">
        <v>42</v>
      </c>
      <c r="D152" s="10">
        <v>34985</v>
      </c>
      <c r="E152" s="11">
        <v>8148155955</v>
      </c>
      <c r="F152" s="12">
        <v>29</v>
      </c>
      <c r="G152" s="4" t="s">
        <v>49</v>
      </c>
      <c r="H152" s="13">
        <v>454</v>
      </c>
      <c r="I152" s="14" t="s">
        <v>38</v>
      </c>
      <c r="J152" s="14" t="s">
        <v>18</v>
      </c>
      <c r="K152" s="14">
        <v>93</v>
      </c>
      <c r="L152" s="15">
        <v>15</v>
      </c>
      <c r="M152" s="15">
        <f t="shared" si="2"/>
        <v>1395</v>
      </c>
      <c r="N152" s="16" t="s">
        <v>19</v>
      </c>
    </row>
    <row r="153" spans="1:14" ht="16.5" customHeight="1" x14ac:dyDescent="0.2">
      <c r="A153" s="7">
        <v>152</v>
      </c>
      <c r="B153" s="8" t="s">
        <v>50</v>
      </c>
      <c r="C153" s="9" t="s">
        <v>42</v>
      </c>
      <c r="D153" s="10">
        <v>35912</v>
      </c>
      <c r="E153" s="11">
        <v>8148155955</v>
      </c>
      <c r="F153" s="12">
        <v>29</v>
      </c>
      <c r="G153" s="4" t="s">
        <v>49</v>
      </c>
      <c r="H153" s="13">
        <v>454</v>
      </c>
      <c r="I153" s="14" t="s">
        <v>38</v>
      </c>
      <c r="J153" s="14" t="s">
        <v>18</v>
      </c>
      <c r="K153" s="14">
        <v>92</v>
      </c>
      <c r="L153" s="15">
        <v>15</v>
      </c>
      <c r="M153" s="15">
        <f t="shared" si="2"/>
        <v>1380</v>
      </c>
      <c r="N153" s="16" t="s">
        <v>19</v>
      </c>
    </row>
    <row r="154" spans="1:14" ht="16.5" customHeight="1" x14ac:dyDescent="0.2">
      <c r="A154" s="7">
        <v>153</v>
      </c>
      <c r="B154" s="8" t="s">
        <v>50</v>
      </c>
      <c r="C154" s="9" t="s">
        <v>42</v>
      </c>
      <c r="D154" s="10">
        <v>36839</v>
      </c>
      <c r="E154" s="11">
        <v>8148155955</v>
      </c>
      <c r="F154" s="12">
        <v>29</v>
      </c>
      <c r="G154" s="4" t="s">
        <v>49</v>
      </c>
      <c r="H154" s="13">
        <v>454</v>
      </c>
      <c r="I154" s="14" t="s">
        <v>38</v>
      </c>
      <c r="J154" s="14" t="s">
        <v>18</v>
      </c>
      <c r="K154" s="14">
        <v>35</v>
      </c>
      <c r="L154" s="15">
        <v>15</v>
      </c>
      <c r="M154" s="15">
        <f t="shared" si="2"/>
        <v>525</v>
      </c>
      <c r="N154" s="16" t="s">
        <v>19</v>
      </c>
    </row>
    <row r="155" spans="1:14" ht="16.5" customHeight="1" x14ac:dyDescent="0.2">
      <c r="A155" s="7">
        <v>154</v>
      </c>
      <c r="B155" s="8" t="s">
        <v>50</v>
      </c>
      <c r="C155" s="9" t="s">
        <v>42</v>
      </c>
      <c r="D155" s="10">
        <v>37766</v>
      </c>
      <c r="E155" s="11">
        <v>8148155955</v>
      </c>
      <c r="F155" s="12">
        <v>29</v>
      </c>
      <c r="G155" s="4" t="s">
        <v>49</v>
      </c>
      <c r="H155" s="13">
        <v>454</v>
      </c>
      <c r="I155" s="14" t="s">
        <v>38</v>
      </c>
      <c r="J155" s="14" t="s">
        <v>18</v>
      </c>
      <c r="K155" s="14">
        <v>69</v>
      </c>
      <c r="L155" s="15">
        <v>15</v>
      </c>
      <c r="M155" s="15">
        <f t="shared" si="2"/>
        <v>1035</v>
      </c>
      <c r="N155" s="16" t="s">
        <v>19</v>
      </c>
    </row>
    <row r="156" spans="1:14" ht="16.5" customHeight="1" x14ac:dyDescent="0.2">
      <c r="A156" s="7">
        <v>155</v>
      </c>
      <c r="B156" s="8" t="s">
        <v>50</v>
      </c>
      <c r="C156" s="9" t="s">
        <v>42</v>
      </c>
      <c r="D156" s="10">
        <v>38693</v>
      </c>
      <c r="E156" s="11">
        <v>8148155955</v>
      </c>
      <c r="F156" s="12">
        <v>29</v>
      </c>
      <c r="G156" s="4" t="s">
        <v>49</v>
      </c>
      <c r="H156" s="13">
        <v>454</v>
      </c>
      <c r="I156" s="14" t="s">
        <v>38</v>
      </c>
      <c r="J156" s="14" t="s">
        <v>18</v>
      </c>
      <c r="K156" s="14">
        <v>96</v>
      </c>
      <c r="L156" s="15">
        <v>15</v>
      </c>
      <c r="M156" s="15">
        <f t="shared" si="2"/>
        <v>1440</v>
      </c>
      <c r="N156" s="16" t="s">
        <v>19</v>
      </c>
    </row>
    <row r="157" spans="1:14" ht="16.5" customHeight="1" x14ac:dyDescent="0.2">
      <c r="A157" s="7">
        <v>156</v>
      </c>
      <c r="B157" s="8" t="s">
        <v>50</v>
      </c>
      <c r="C157" s="9" t="s">
        <v>42</v>
      </c>
      <c r="D157" s="10">
        <v>39620</v>
      </c>
      <c r="E157" s="11">
        <v>8148155955</v>
      </c>
      <c r="F157" s="12">
        <v>29</v>
      </c>
      <c r="G157" s="4" t="s">
        <v>49</v>
      </c>
      <c r="H157" s="13">
        <v>454</v>
      </c>
      <c r="I157" s="14" t="s">
        <v>38</v>
      </c>
      <c r="J157" s="14" t="s">
        <v>18</v>
      </c>
      <c r="K157" s="14">
        <v>44</v>
      </c>
      <c r="L157" s="15">
        <v>15</v>
      </c>
      <c r="M157" s="15">
        <f t="shared" si="2"/>
        <v>660</v>
      </c>
      <c r="N157" s="16" t="s">
        <v>19</v>
      </c>
    </row>
    <row r="158" spans="1:14" ht="16.5" customHeight="1" x14ac:dyDescent="0.2">
      <c r="A158" s="7">
        <v>157</v>
      </c>
      <c r="B158" s="8" t="s">
        <v>48</v>
      </c>
      <c r="C158" s="9" t="s">
        <v>42</v>
      </c>
      <c r="D158" s="10">
        <v>35516</v>
      </c>
      <c r="E158" s="11">
        <v>2656823296</v>
      </c>
      <c r="F158" s="12">
        <v>29</v>
      </c>
      <c r="G158" s="4" t="s">
        <v>49</v>
      </c>
      <c r="H158" s="13">
        <v>454</v>
      </c>
      <c r="I158" s="14" t="s">
        <v>38</v>
      </c>
      <c r="J158" s="14" t="s">
        <v>18</v>
      </c>
      <c r="K158" s="14">
        <v>55</v>
      </c>
      <c r="L158" s="15">
        <v>15</v>
      </c>
      <c r="M158" s="15">
        <f t="shared" si="2"/>
        <v>825</v>
      </c>
      <c r="N158" s="14" t="s">
        <v>30</v>
      </c>
    </row>
    <row r="159" spans="1:14" ht="16.5" customHeight="1" x14ac:dyDescent="0.2">
      <c r="A159" s="7">
        <v>158</v>
      </c>
      <c r="B159" s="8" t="s">
        <v>48</v>
      </c>
      <c r="C159" s="9" t="s">
        <v>42</v>
      </c>
      <c r="D159" s="10">
        <v>36443</v>
      </c>
      <c r="E159" s="11">
        <v>2656823296</v>
      </c>
      <c r="F159" s="12">
        <v>29</v>
      </c>
      <c r="G159" s="4" t="s">
        <v>49</v>
      </c>
      <c r="H159" s="13">
        <v>454</v>
      </c>
      <c r="I159" s="14" t="s">
        <v>38</v>
      </c>
      <c r="J159" s="14" t="s">
        <v>18</v>
      </c>
      <c r="K159" s="14">
        <v>77</v>
      </c>
      <c r="L159" s="15">
        <v>15</v>
      </c>
      <c r="M159" s="15">
        <f t="shared" si="2"/>
        <v>1155</v>
      </c>
      <c r="N159" s="14" t="s">
        <v>30</v>
      </c>
    </row>
    <row r="160" spans="1:14" ht="16.5" customHeight="1" x14ac:dyDescent="0.2">
      <c r="A160" s="7">
        <v>159</v>
      </c>
      <c r="B160" s="8" t="s">
        <v>48</v>
      </c>
      <c r="C160" s="9" t="s">
        <v>42</v>
      </c>
      <c r="D160" s="10">
        <v>37370</v>
      </c>
      <c r="E160" s="11">
        <v>2656823296</v>
      </c>
      <c r="F160" s="12">
        <v>29</v>
      </c>
      <c r="G160" s="4" t="s">
        <v>49</v>
      </c>
      <c r="H160" s="13">
        <v>454</v>
      </c>
      <c r="I160" s="14" t="s">
        <v>38</v>
      </c>
      <c r="J160" s="14" t="s">
        <v>18</v>
      </c>
      <c r="K160" s="14">
        <v>66</v>
      </c>
      <c r="L160" s="15">
        <v>15</v>
      </c>
      <c r="M160" s="15">
        <f t="shared" si="2"/>
        <v>990</v>
      </c>
      <c r="N160" s="14" t="s">
        <v>30</v>
      </c>
    </row>
    <row r="161" spans="1:14" ht="16.5" customHeight="1" x14ac:dyDescent="0.2">
      <c r="A161" s="7">
        <v>160</v>
      </c>
      <c r="B161" s="8" t="s">
        <v>48</v>
      </c>
      <c r="C161" s="9" t="s">
        <v>51</v>
      </c>
      <c r="D161" s="10">
        <v>38297</v>
      </c>
      <c r="E161" s="11">
        <v>2656823296</v>
      </c>
      <c r="F161" s="12">
        <v>29</v>
      </c>
      <c r="G161" s="4" t="s">
        <v>49</v>
      </c>
      <c r="H161" s="13">
        <v>454</v>
      </c>
      <c r="I161" s="14" t="s">
        <v>38</v>
      </c>
      <c r="J161" s="14" t="s">
        <v>18</v>
      </c>
      <c r="K161" s="14">
        <v>29</v>
      </c>
      <c r="L161" s="15">
        <v>15</v>
      </c>
      <c r="M161" s="15">
        <f t="shared" si="2"/>
        <v>435</v>
      </c>
      <c r="N161" s="14" t="s">
        <v>30</v>
      </c>
    </row>
    <row r="162" spans="1:14" ht="16.5" customHeight="1" x14ac:dyDescent="0.2">
      <c r="A162" s="7">
        <v>161</v>
      </c>
      <c r="B162" s="8" t="s">
        <v>48</v>
      </c>
      <c r="C162" s="9" t="s">
        <v>51</v>
      </c>
      <c r="D162" s="10">
        <v>39224</v>
      </c>
      <c r="E162" s="11">
        <v>2656823296</v>
      </c>
      <c r="F162" s="12">
        <v>29</v>
      </c>
      <c r="G162" s="4" t="s">
        <v>49</v>
      </c>
      <c r="H162" s="13">
        <v>454</v>
      </c>
      <c r="I162" s="14" t="s">
        <v>38</v>
      </c>
      <c r="J162" s="14" t="s">
        <v>18</v>
      </c>
      <c r="K162" s="14">
        <v>39</v>
      </c>
      <c r="L162" s="15">
        <v>15</v>
      </c>
      <c r="M162" s="15">
        <f t="shared" si="2"/>
        <v>585</v>
      </c>
      <c r="N162" s="14" t="s">
        <v>30</v>
      </c>
    </row>
    <row r="163" spans="1:14" ht="16.5" customHeight="1" x14ac:dyDescent="0.2">
      <c r="A163" s="7">
        <v>162</v>
      </c>
      <c r="B163" s="8" t="s">
        <v>48</v>
      </c>
      <c r="C163" s="9" t="s">
        <v>51</v>
      </c>
      <c r="D163" s="10">
        <v>40151</v>
      </c>
      <c r="E163" s="11">
        <v>2656823296</v>
      </c>
      <c r="F163" s="12">
        <v>29</v>
      </c>
      <c r="G163" s="4" t="s">
        <v>49</v>
      </c>
      <c r="H163" s="13">
        <v>454</v>
      </c>
      <c r="I163" s="14" t="s">
        <v>38</v>
      </c>
      <c r="J163" s="14" t="s">
        <v>18</v>
      </c>
      <c r="K163" s="14">
        <v>37</v>
      </c>
      <c r="L163" s="15">
        <v>15</v>
      </c>
      <c r="M163" s="15">
        <f t="shared" si="2"/>
        <v>555</v>
      </c>
      <c r="N163" s="14" t="s">
        <v>30</v>
      </c>
    </row>
    <row r="164" spans="1:14" ht="16.5" customHeight="1" x14ac:dyDescent="0.2">
      <c r="A164" s="7">
        <v>163</v>
      </c>
      <c r="B164" s="8" t="s">
        <v>52</v>
      </c>
      <c r="C164" s="9" t="s">
        <v>51</v>
      </c>
      <c r="D164" s="10">
        <v>34841</v>
      </c>
      <c r="E164" s="11">
        <v>9856588163</v>
      </c>
      <c r="F164" s="12">
        <v>29</v>
      </c>
      <c r="G164" s="4" t="s">
        <v>49</v>
      </c>
      <c r="H164" s="13">
        <v>702</v>
      </c>
      <c r="I164" s="14" t="s">
        <v>47</v>
      </c>
      <c r="J164" s="14" t="s">
        <v>18</v>
      </c>
      <c r="K164" s="14">
        <v>84</v>
      </c>
      <c r="L164" s="15">
        <v>20</v>
      </c>
      <c r="M164" s="15">
        <f t="shared" si="2"/>
        <v>1680</v>
      </c>
      <c r="N164" s="14" t="s">
        <v>30</v>
      </c>
    </row>
    <row r="165" spans="1:14" ht="16.5" customHeight="1" x14ac:dyDescent="0.2">
      <c r="A165" s="7">
        <v>164</v>
      </c>
      <c r="B165" s="8" t="s">
        <v>52</v>
      </c>
      <c r="C165" s="9" t="s">
        <v>51</v>
      </c>
      <c r="D165" s="10">
        <v>34850</v>
      </c>
      <c r="E165" s="11">
        <v>4591976872</v>
      </c>
      <c r="F165" s="12">
        <v>29</v>
      </c>
      <c r="G165" s="4" t="s">
        <v>49</v>
      </c>
      <c r="H165" s="13">
        <v>909</v>
      </c>
      <c r="I165" s="14" t="s">
        <v>24</v>
      </c>
      <c r="J165" s="14" t="s">
        <v>18</v>
      </c>
      <c r="K165" s="14">
        <v>77</v>
      </c>
      <c r="L165" s="15">
        <v>50</v>
      </c>
      <c r="M165" s="15">
        <f t="shared" si="2"/>
        <v>3850</v>
      </c>
      <c r="N165" s="14" t="s">
        <v>25</v>
      </c>
    </row>
    <row r="166" spans="1:14" ht="16.5" customHeight="1" x14ac:dyDescent="0.2">
      <c r="A166" s="7">
        <v>165</v>
      </c>
      <c r="B166" s="8" t="s">
        <v>52</v>
      </c>
      <c r="C166" s="9" t="s">
        <v>51</v>
      </c>
      <c r="D166" s="10">
        <v>35768</v>
      </c>
      <c r="E166" s="11">
        <v>9856588163</v>
      </c>
      <c r="F166" s="12">
        <v>29</v>
      </c>
      <c r="G166" s="4" t="s">
        <v>49</v>
      </c>
      <c r="H166" s="13">
        <v>702</v>
      </c>
      <c r="I166" s="14" t="s">
        <v>47</v>
      </c>
      <c r="J166" s="14" t="s">
        <v>18</v>
      </c>
      <c r="K166" s="14">
        <v>44</v>
      </c>
      <c r="L166" s="15">
        <v>20</v>
      </c>
      <c r="M166" s="15">
        <f t="shared" si="2"/>
        <v>880</v>
      </c>
      <c r="N166" s="14" t="s">
        <v>30</v>
      </c>
    </row>
    <row r="167" spans="1:14" ht="16.5" customHeight="1" x14ac:dyDescent="0.2">
      <c r="A167" s="7">
        <v>166</v>
      </c>
      <c r="B167" s="8" t="s">
        <v>52</v>
      </c>
      <c r="C167" s="9" t="s">
        <v>51</v>
      </c>
      <c r="D167" s="10">
        <v>35777</v>
      </c>
      <c r="E167" s="11">
        <v>4591976872</v>
      </c>
      <c r="F167" s="12">
        <v>29</v>
      </c>
      <c r="G167" s="4" t="s">
        <v>49</v>
      </c>
      <c r="H167" s="13">
        <v>909</v>
      </c>
      <c r="I167" s="14" t="s">
        <v>24</v>
      </c>
      <c r="J167" s="14" t="s">
        <v>18</v>
      </c>
      <c r="K167" s="14">
        <v>24</v>
      </c>
      <c r="L167" s="15">
        <v>50</v>
      </c>
      <c r="M167" s="15">
        <f t="shared" si="2"/>
        <v>1200</v>
      </c>
      <c r="N167" s="14" t="s">
        <v>25</v>
      </c>
    </row>
    <row r="168" spans="1:14" ht="16.5" customHeight="1" x14ac:dyDescent="0.2">
      <c r="A168" s="7">
        <v>167</v>
      </c>
      <c r="B168" s="8" t="s">
        <v>52</v>
      </c>
      <c r="C168" s="9" t="s">
        <v>51</v>
      </c>
      <c r="D168" s="10">
        <v>36695</v>
      </c>
      <c r="E168" s="11">
        <v>9856588163</v>
      </c>
      <c r="F168" s="12">
        <v>29</v>
      </c>
      <c r="G168" s="4" t="s">
        <v>49</v>
      </c>
      <c r="H168" s="13">
        <v>702</v>
      </c>
      <c r="I168" s="14" t="s">
        <v>47</v>
      </c>
      <c r="J168" s="14" t="s">
        <v>18</v>
      </c>
      <c r="K168" s="14">
        <v>86</v>
      </c>
      <c r="L168" s="15">
        <v>20</v>
      </c>
      <c r="M168" s="15">
        <f t="shared" si="2"/>
        <v>1720</v>
      </c>
      <c r="N168" s="14" t="s">
        <v>30</v>
      </c>
    </row>
    <row r="169" spans="1:14" ht="16.5" customHeight="1" x14ac:dyDescent="0.2">
      <c r="A169" s="7">
        <v>168</v>
      </c>
      <c r="B169" s="8" t="s">
        <v>52</v>
      </c>
      <c r="C169" s="9" t="s">
        <v>51</v>
      </c>
      <c r="D169" s="10">
        <v>36704</v>
      </c>
      <c r="E169" s="11">
        <v>4591976872</v>
      </c>
      <c r="F169" s="12">
        <v>29</v>
      </c>
      <c r="G169" s="4" t="s">
        <v>49</v>
      </c>
      <c r="H169" s="13">
        <v>909</v>
      </c>
      <c r="I169" s="14" t="s">
        <v>24</v>
      </c>
      <c r="J169" s="14" t="s">
        <v>18</v>
      </c>
      <c r="K169" s="14">
        <v>63</v>
      </c>
      <c r="L169" s="15">
        <v>50</v>
      </c>
      <c r="M169" s="15">
        <f t="shared" si="2"/>
        <v>3150</v>
      </c>
      <c r="N169" s="14" t="s">
        <v>25</v>
      </c>
    </row>
    <row r="170" spans="1:14" ht="16.5" customHeight="1" x14ac:dyDescent="0.2">
      <c r="A170" s="7">
        <v>169</v>
      </c>
      <c r="B170" s="8" t="s">
        <v>52</v>
      </c>
      <c r="C170" s="9" t="s">
        <v>51</v>
      </c>
      <c r="D170" s="10">
        <v>37622</v>
      </c>
      <c r="E170" s="11">
        <v>9856588163</v>
      </c>
      <c r="F170" s="12">
        <v>29</v>
      </c>
      <c r="G170" s="4" t="s">
        <v>49</v>
      </c>
      <c r="H170" s="13">
        <v>702</v>
      </c>
      <c r="I170" s="14" t="s">
        <v>47</v>
      </c>
      <c r="J170" s="14" t="s">
        <v>18</v>
      </c>
      <c r="K170" s="14">
        <v>68</v>
      </c>
      <c r="L170" s="15">
        <v>20</v>
      </c>
      <c r="M170" s="15">
        <f t="shared" si="2"/>
        <v>1360</v>
      </c>
      <c r="N170" s="14" t="s">
        <v>30</v>
      </c>
    </row>
    <row r="171" spans="1:14" ht="16.5" customHeight="1" x14ac:dyDescent="0.2">
      <c r="A171" s="7">
        <v>170</v>
      </c>
      <c r="B171" s="8" t="s">
        <v>52</v>
      </c>
      <c r="C171" s="9" t="s">
        <v>51</v>
      </c>
      <c r="D171" s="10">
        <v>37631</v>
      </c>
      <c r="E171" s="11">
        <v>4591976872</v>
      </c>
      <c r="F171" s="12">
        <v>29</v>
      </c>
      <c r="G171" s="4" t="s">
        <v>49</v>
      </c>
      <c r="H171" s="13">
        <v>909</v>
      </c>
      <c r="I171" s="14" t="s">
        <v>24</v>
      </c>
      <c r="J171" s="14" t="s">
        <v>18</v>
      </c>
      <c r="K171" s="14">
        <v>23</v>
      </c>
      <c r="L171" s="15">
        <v>50</v>
      </c>
      <c r="M171" s="15">
        <f t="shared" si="2"/>
        <v>1150</v>
      </c>
      <c r="N171" s="14" t="s">
        <v>25</v>
      </c>
    </row>
    <row r="172" spans="1:14" ht="16.5" customHeight="1" x14ac:dyDescent="0.2">
      <c r="A172" s="7">
        <v>171</v>
      </c>
      <c r="B172" s="8" t="s">
        <v>52</v>
      </c>
      <c r="C172" s="9" t="s">
        <v>51</v>
      </c>
      <c r="D172" s="10">
        <v>38549</v>
      </c>
      <c r="E172" s="11">
        <v>9856588163</v>
      </c>
      <c r="F172" s="12">
        <v>29</v>
      </c>
      <c r="G172" s="4" t="s">
        <v>49</v>
      </c>
      <c r="H172" s="13">
        <v>702</v>
      </c>
      <c r="I172" s="14" t="s">
        <v>47</v>
      </c>
      <c r="J172" s="14" t="s">
        <v>18</v>
      </c>
      <c r="K172" s="14">
        <v>81</v>
      </c>
      <c r="L172" s="15">
        <v>20</v>
      </c>
      <c r="M172" s="15">
        <f t="shared" si="2"/>
        <v>1620</v>
      </c>
      <c r="N172" s="14" t="s">
        <v>30</v>
      </c>
    </row>
    <row r="173" spans="1:14" ht="16.5" customHeight="1" x14ac:dyDescent="0.2">
      <c r="A173" s="7">
        <v>172</v>
      </c>
      <c r="B173" s="8" t="s">
        <v>52</v>
      </c>
      <c r="C173" s="9" t="s">
        <v>51</v>
      </c>
      <c r="D173" s="10">
        <v>38558</v>
      </c>
      <c r="E173" s="11">
        <v>4591976872</v>
      </c>
      <c r="F173" s="12">
        <v>29</v>
      </c>
      <c r="G173" s="4" t="s">
        <v>49</v>
      </c>
      <c r="H173" s="13">
        <v>909</v>
      </c>
      <c r="I173" s="14" t="s">
        <v>24</v>
      </c>
      <c r="J173" s="14" t="s">
        <v>18</v>
      </c>
      <c r="K173" s="14">
        <v>61</v>
      </c>
      <c r="L173" s="15">
        <v>50</v>
      </c>
      <c r="M173" s="15">
        <f t="shared" si="2"/>
        <v>3050</v>
      </c>
      <c r="N173" s="14" t="s">
        <v>25</v>
      </c>
    </row>
    <row r="174" spans="1:14" ht="16.5" customHeight="1" x14ac:dyDescent="0.2">
      <c r="A174" s="7">
        <v>173</v>
      </c>
      <c r="B174" s="8" t="s">
        <v>52</v>
      </c>
      <c r="C174" s="9" t="s">
        <v>51</v>
      </c>
      <c r="D174" s="10">
        <v>39476</v>
      </c>
      <c r="E174" s="11">
        <v>9856588163</v>
      </c>
      <c r="F174" s="12">
        <v>29</v>
      </c>
      <c r="G174" s="4" t="s">
        <v>49</v>
      </c>
      <c r="H174" s="13">
        <v>702</v>
      </c>
      <c r="I174" s="14" t="s">
        <v>47</v>
      </c>
      <c r="J174" s="14" t="s">
        <v>18</v>
      </c>
      <c r="K174" s="14">
        <v>83</v>
      </c>
      <c r="L174" s="15">
        <v>20</v>
      </c>
      <c r="M174" s="15">
        <f t="shared" si="2"/>
        <v>1660</v>
      </c>
      <c r="N174" s="14" t="s">
        <v>30</v>
      </c>
    </row>
    <row r="175" spans="1:14" ht="16.5" customHeight="1" x14ac:dyDescent="0.2">
      <c r="A175" s="7">
        <v>174</v>
      </c>
      <c r="B175" s="8" t="s">
        <v>52</v>
      </c>
      <c r="C175" s="9" t="s">
        <v>51</v>
      </c>
      <c r="D175" s="10">
        <v>39485</v>
      </c>
      <c r="E175" s="11">
        <v>4591976872</v>
      </c>
      <c r="F175" s="12">
        <v>29</v>
      </c>
      <c r="G175" s="4" t="s">
        <v>49</v>
      </c>
      <c r="H175" s="13">
        <v>909</v>
      </c>
      <c r="I175" s="14" t="s">
        <v>24</v>
      </c>
      <c r="J175" s="14" t="s">
        <v>18</v>
      </c>
      <c r="K175" s="14">
        <v>44</v>
      </c>
      <c r="L175" s="15">
        <v>50</v>
      </c>
      <c r="M175" s="15">
        <f t="shared" si="2"/>
        <v>2200</v>
      </c>
      <c r="N175" s="14" t="s">
        <v>25</v>
      </c>
    </row>
    <row r="176" spans="1:14" ht="16.5" customHeight="1" x14ac:dyDescent="0.2">
      <c r="A176" s="7">
        <v>175</v>
      </c>
      <c r="B176" s="8" t="s">
        <v>43</v>
      </c>
      <c r="C176" s="9" t="s">
        <v>51</v>
      </c>
      <c r="D176" s="10">
        <v>35228</v>
      </c>
      <c r="E176" s="11">
        <v>2710956307</v>
      </c>
      <c r="F176" s="12">
        <v>29</v>
      </c>
      <c r="G176" s="4" t="s">
        <v>49</v>
      </c>
      <c r="H176" s="13">
        <v>195</v>
      </c>
      <c r="I176" s="14" t="s">
        <v>36</v>
      </c>
      <c r="J176" s="14" t="s">
        <v>18</v>
      </c>
      <c r="K176" s="14">
        <v>92</v>
      </c>
      <c r="L176" s="15">
        <v>60</v>
      </c>
      <c r="M176" s="15">
        <f t="shared" si="2"/>
        <v>5520</v>
      </c>
      <c r="N176" s="14" t="s">
        <v>25</v>
      </c>
    </row>
    <row r="177" spans="1:14" ht="16.5" customHeight="1" x14ac:dyDescent="0.2">
      <c r="A177" s="7">
        <v>176</v>
      </c>
      <c r="B177" s="8" t="s">
        <v>43</v>
      </c>
      <c r="C177" s="9" t="s">
        <v>51</v>
      </c>
      <c r="D177" s="10">
        <v>35282</v>
      </c>
      <c r="E177" s="11">
        <v>3395628039</v>
      </c>
      <c r="F177" s="12">
        <v>29</v>
      </c>
      <c r="G177" s="4" t="s">
        <v>49</v>
      </c>
      <c r="H177" s="13">
        <v>534</v>
      </c>
      <c r="I177" s="14" t="s">
        <v>17</v>
      </c>
      <c r="J177" s="14" t="s">
        <v>18</v>
      </c>
      <c r="K177" s="14">
        <v>89</v>
      </c>
      <c r="L177" s="15">
        <v>25</v>
      </c>
      <c r="M177" s="15">
        <f t="shared" si="2"/>
        <v>2225</v>
      </c>
      <c r="N177" s="14" t="s">
        <v>25</v>
      </c>
    </row>
    <row r="178" spans="1:14" ht="16.5" customHeight="1" x14ac:dyDescent="0.2">
      <c r="A178" s="7">
        <v>177</v>
      </c>
      <c r="B178" s="8" t="s">
        <v>43</v>
      </c>
      <c r="C178" s="9" t="s">
        <v>51</v>
      </c>
      <c r="D178" s="10">
        <v>36155</v>
      </c>
      <c r="E178" s="11">
        <v>2710956307</v>
      </c>
      <c r="F178" s="12">
        <v>29</v>
      </c>
      <c r="G178" s="4" t="s">
        <v>49</v>
      </c>
      <c r="H178" s="13">
        <v>195</v>
      </c>
      <c r="I178" s="14" t="s">
        <v>36</v>
      </c>
      <c r="J178" s="14" t="s">
        <v>18</v>
      </c>
      <c r="K178" s="14">
        <v>45</v>
      </c>
      <c r="L178" s="15">
        <v>60</v>
      </c>
      <c r="M178" s="15">
        <f t="shared" si="2"/>
        <v>2700</v>
      </c>
      <c r="N178" s="14" t="s">
        <v>25</v>
      </c>
    </row>
    <row r="179" spans="1:14" ht="16.5" customHeight="1" x14ac:dyDescent="0.2">
      <c r="A179" s="7">
        <v>178</v>
      </c>
      <c r="B179" s="8" t="s">
        <v>43</v>
      </c>
      <c r="C179" s="9" t="s">
        <v>51</v>
      </c>
      <c r="D179" s="10">
        <v>36209</v>
      </c>
      <c r="E179" s="11">
        <v>3395628039</v>
      </c>
      <c r="F179" s="12">
        <v>29</v>
      </c>
      <c r="G179" s="4" t="s">
        <v>49</v>
      </c>
      <c r="H179" s="13">
        <v>534</v>
      </c>
      <c r="I179" s="14" t="s">
        <v>17</v>
      </c>
      <c r="J179" s="14" t="s">
        <v>18</v>
      </c>
      <c r="K179" s="14">
        <v>49</v>
      </c>
      <c r="L179" s="15">
        <v>25</v>
      </c>
      <c r="M179" s="15">
        <f t="shared" si="2"/>
        <v>1225</v>
      </c>
      <c r="N179" s="14" t="s">
        <v>25</v>
      </c>
    </row>
    <row r="180" spans="1:14" ht="16.5" customHeight="1" x14ac:dyDescent="0.2">
      <c r="A180" s="7">
        <v>179</v>
      </c>
      <c r="B180" s="8" t="s">
        <v>43</v>
      </c>
      <c r="C180" s="9" t="s">
        <v>51</v>
      </c>
      <c r="D180" s="10">
        <v>37082</v>
      </c>
      <c r="E180" s="11">
        <v>2710956307</v>
      </c>
      <c r="F180" s="12">
        <v>29</v>
      </c>
      <c r="G180" s="4" t="s">
        <v>49</v>
      </c>
      <c r="H180" s="13">
        <v>195</v>
      </c>
      <c r="I180" s="14" t="s">
        <v>36</v>
      </c>
      <c r="J180" s="14" t="s">
        <v>18</v>
      </c>
      <c r="K180" s="14">
        <v>13</v>
      </c>
      <c r="L180" s="15">
        <v>60</v>
      </c>
      <c r="M180" s="15">
        <f t="shared" si="2"/>
        <v>780</v>
      </c>
      <c r="N180" s="14" t="s">
        <v>25</v>
      </c>
    </row>
    <row r="181" spans="1:14" ht="16.5" customHeight="1" x14ac:dyDescent="0.2">
      <c r="A181" s="7">
        <v>180</v>
      </c>
      <c r="B181" s="8" t="s">
        <v>43</v>
      </c>
      <c r="C181" s="9" t="s">
        <v>51</v>
      </c>
      <c r="D181" s="10">
        <v>37136</v>
      </c>
      <c r="E181" s="11">
        <v>3395628039</v>
      </c>
      <c r="F181" s="12">
        <v>29</v>
      </c>
      <c r="G181" s="4" t="s">
        <v>49</v>
      </c>
      <c r="H181" s="13">
        <v>534</v>
      </c>
      <c r="I181" s="14" t="s">
        <v>17</v>
      </c>
      <c r="J181" s="14" t="s">
        <v>18</v>
      </c>
      <c r="K181" s="14">
        <v>30</v>
      </c>
      <c r="L181" s="15">
        <v>25</v>
      </c>
      <c r="M181" s="15">
        <f t="shared" si="2"/>
        <v>750</v>
      </c>
      <c r="N181" s="14" t="s">
        <v>25</v>
      </c>
    </row>
    <row r="182" spans="1:14" ht="16.5" customHeight="1" x14ac:dyDescent="0.2">
      <c r="A182" s="7">
        <v>181</v>
      </c>
      <c r="B182" s="8" t="s">
        <v>43</v>
      </c>
      <c r="C182" s="9" t="s">
        <v>51</v>
      </c>
      <c r="D182" s="10">
        <v>38009</v>
      </c>
      <c r="E182" s="11">
        <v>2710956307</v>
      </c>
      <c r="F182" s="12">
        <v>29</v>
      </c>
      <c r="G182" s="4" t="s">
        <v>49</v>
      </c>
      <c r="H182" s="13">
        <v>195</v>
      </c>
      <c r="I182" s="14" t="s">
        <v>36</v>
      </c>
      <c r="J182" s="14" t="s">
        <v>18</v>
      </c>
      <c r="K182" s="14">
        <v>29</v>
      </c>
      <c r="L182" s="15">
        <v>60</v>
      </c>
      <c r="M182" s="15">
        <f t="shared" si="2"/>
        <v>1740</v>
      </c>
      <c r="N182" s="14" t="s">
        <v>25</v>
      </c>
    </row>
    <row r="183" spans="1:14" ht="16.5" customHeight="1" x14ac:dyDescent="0.2">
      <c r="A183" s="7">
        <v>182</v>
      </c>
      <c r="B183" s="8" t="s">
        <v>43</v>
      </c>
      <c r="C183" s="9" t="s">
        <v>51</v>
      </c>
      <c r="D183" s="10">
        <v>38063</v>
      </c>
      <c r="E183" s="11">
        <v>3395628039</v>
      </c>
      <c r="F183" s="12">
        <v>29</v>
      </c>
      <c r="G183" s="4" t="s">
        <v>49</v>
      </c>
      <c r="H183" s="13">
        <v>534</v>
      </c>
      <c r="I183" s="14" t="s">
        <v>17</v>
      </c>
      <c r="J183" s="14" t="s">
        <v>18</v>
      </c>
      <c r="K183" s="14">
        <v>24</v>
      </c>
      <c r="L183" s="15">
        <v>25</v>
      </c>
      <c r="M183" s="15">
        <f t="shared" si="2"/>
        <v>600</v>
      </c>
      <c r="N183" s="14" t="s">
        <v>25</v>
      </c>
    </row>
    <row r="184" spans="1:14" ht="16.5" customHeight="1" x14ac:dyDescent="0.2">
      <c r="A184" s="7">
        <v>183</v>
      </c>
      <c r="B184" s="8" t="s">
        <v>43</v>
      </c>
      <c r="C184" s="9" t="s">
        <v>51</v>
      </c>
      <c r="D184" s="10">
        <v>38936</v>
      </c>
      <c r="E184" s="11">
        <v>2710956307</v>
      </c>
      <c r="F184" s="12">
        <v>29</v>
      </c>
      <c r="G184" s="4" t="s">
        <v>49</v>
      </c>
      <c r="H184" s="13">
        <v>195</v>
      </c>
      <c r="I184" s="14" t="s">
        <v>36</v>
      </c>
      <c r="J184" s="14" t="s">
        <v>18</v>
      </c>
      <c r="K184" s="14">
        <v>58</v>
      </c>
      <c r="L184" s="15">
        <v>60</v>
      </c>
      <c r="M184" s="15">
        <f t="shared" si="2"/>
        <v>3480</v>
      </c>
      <c r="N184" s="14" t="s">
        <v>25</v>
      </c>
    </row>
    <row r="185" spans="1:14" ht="16.5" customHeight="1" x14ac:dyDescent="0.2">
      <c r="A185" s="7">
        <v>184</v>
      </c>
      <c r="B185" s="8" t="s">
        <v>43</v>
      </c>
      <c r="C185" s="9" t="s">
        <v>51</v>
      </c>
      <c r="D185" s="10">
        <v>38990</v>
      </c>
      <c r="E185" s="11">
        <v>3395628039</v>
      </c>
      <c r="F185" s="12">
        <v>29</v>
      </c>
      <c r="G185" s="4" t="s">
        <v>49</v>
      </c>
      <c r="H185" s="13">
        <v>534</v>
      </c>
      <c r="I185" s="14" t="s">
        <v>17</v>
      </c>
      <c r="J185" s="14" t="s">
        <v>18</v>
      </c>
      <c r="K185" s="14">
        <v>43</v>
      </c>
      <c r="L185" s="15">
        <v>25</v>
      </c>
      <c r="M185" s="15">
        <f t="shared" si="2"/>
        <v>1075</v>
      </c>
      <c r="N185" s="14" t="s">
        <v>25</v>
      </c>
    </row>
    <row r="186" spans="1:14" ht="16.5" customHeight="1" x14ac:dyDescent="0.2">
      <c r="A186" s="7">
        <v>185</v>
      </c>
      <c r="B186" s="8" t="s">
        <v>43</v>
      </c>
      <c r="C186" s="9" t="s">
        <v>51</v>
      </c>
      <c r="D186" s="10">
        <v>39863</v>
      </c>
      <c r="E186" s="11">
        <v>2710956307</v>
      </c>
      <c r="F186" s="12">
        <v>29</v>
      </c>
      <c r="G186" s="4" t="s">
        <v>49</v>
      </c>
      <c r="H186" s="13">
        <v>195</v>
      </c>
      <c r="I186" s="14" t="s">
        <v>36</v>
      </c>
      <c r="J186" s="14" t="s">
        <v>18</v>
      </c>
      <c r="K186" s="14">
        <v>25</v>
      </c>
      <c r="L186" s="15">
        <v>60</v>
      </c>
      <c r="M186" s="15">
        <f t="shared" si="2"/>
        <v>1500</v>
      </c>
      <c r="N186" s="14" t="s">
        <v>25</v>
      </c>
    </row>
    <row r="187" spans="1:14" ht="16.5" customHeight="1" x14ac:dyDescent="0.2">
      <c r="A187" s="7">
        <v>186</v>
      </c>
      <c r="B187" s="8" t="s">
        <v>43</v>
      </c>
      <c r="C187" s="9" t="s">
        <v>51</v>
      </c>
      <c r="D187" s="10">
        <v>39917</v>
      </c>
      <c r="E187" s="11">
        <v>3395628039</v>
      </c>
      <c r="F187" s="12">
        <v>29</v>
      </c>
      <c r="G187" s="4" t="s">
        <v>49</v>
      </c>
      <c r="H187" s="13">
        <v>534</v>
      </c>
      <c r="I187" s="14" t="s">
        <v>17</v>
      </c>
      <c r="J187" s="14" t="s">
        <v>18</v>
      </c>
      <c r="K187" s="14">
        <v>54</v>
      </c>
      <c r="L187" s="15">
        <v>25</v>
      </c>
      <c r="M187" s="15">
        <f t="shared" si="2"/>
        <v>1350</v>
      </c>
      <c r="N187" s="14" t="s">
        <v>25</v>
      </c>
    </row>
    <row r="188" spans="1:14" ht="16.5" customHeight="1" x14ac:dyDescent="0.2">
      <c r="A188" s="7">
        <v>187</v>
      </c>
      <c r="B188" s="8" t="s">
        <v>53</v>
      </c>
      <c r="C188" s="9" t="s">
        <v>51</v>
      </c>
      <c r="D188" s="10">
        <v>35480</v>
      </c>
      <c r="E188" s="11">
        <v>1642710160</v>
      </c>
      <c r="F188" s="12">
        <v>29</v>
      </c>
      <c r="G188" s="4" t="s">
        <v>49</v>
      </c>
      <c r="H188" s="13">
        <v>521</v>
      </c>
      <c r="I188" s="14" t="s">
        <v>22</v>
      </c>
      <c r="J188" s="14" t="s">
        <v>23</v>
      </c>
      <c r="K188" s="14">
        <v>92</v>
      </c>
      <c r="L188" s="15">
        <v>30</v>
      </c>
      <c r="M188" s="15">
        <f t="shared" si="2"/>
        <v>2760</v>
      </c>
      <c r="N188" s="14" t="s">
        <v>30</v>
      </c>
    </row>
    <row r="189" spans="1:14" ht="16.5" customHeight="1" x14ac:dyDescent="0.2">
      <c r="A189" s="7">
        <v>188</v>
      </c>
      <c r="B189" s="8" t="s">
        <v>53</v>
      </c>
      <c r="C189" s="9" t="s">
        <v>51</v>
      </c>
      <c r="D189" s="10">
        <v>36407</v>
      </c>
      <c r="E189" s="11">
        <v>1642710160</v>
      </c>
      <c r="F189" s="12">
        <v>29</v>
      </c>
      <c r="G189" s="4" t="s">
        <v>49</v>
      </c>
      <c r="H189" s="13">
        <v>521</v>
      </c>
      <c r="I189" s="14" t="s">
        <v>22</v>
      </c>
      <c r="J189" s="14" t="s">
        <v>23</v>
      </c>
      <c r="K189" s="14">
        <v>90</v>
      </c>
      <c r="L189" s="15">
        <v>30</v>
      </c>
      <c r="M189" s="15">
        <f t="shared" si="2"/>
        <v>2700</v>
      </c>
      <c r="N189" s="14" t="s">
        <v>30</v>
      </c>
    </row>
    <row r="190" spans="1:14" ht="16.5" customHeight="1" x14ac:dyDescent="0.2">
      <c r="A190" s="7">
        <v>189</v>
      </c>
      <c r="B190" s="8" t="s">
        <v>53</v>
      </c>
      <c r="C190" s="9" t="s">
        <v>51</v>
      </c>
      <c r="D190" s="10">
        <v>37334</v>
      </c>
      <c r="E190" s="11">
        <v>1642710160</v>
      </c>
      <c r="F190" s="12">
        <v>29</v>
      </c>
      <c r="G190" s="4" t="s">
        <v>49</v>
      </c>
      <c r="H190" s="13">
        <v>521</v>
      </c>
      <c r="I190" s="14" t="s">
        <v>22</v>
      </c>
      <c r="J190" s="14" t="s">
        <v>23</v>
      </c>
      <c r="K190" s="14">
        <v>57</v>
      </c>
      <c r="L190" s="15">
        <v>30</v>
      </c>
      <c r="M190" s="15">
        <f t="shared" si="2"/>
        <v>1710</v>
      </c>
      <c r="N190" s="14" t="s">
        <v>30</v>
      </c>
    </row>
    <row r="191" spans="1:14" ht="16.5" customHeight="1" x14ac:dyDescent="0.2">
      <c r="A191" s="7">
        <v>190</v>
      </c>
      <c r="B191" s="8" t="s">
        <v>53</v>
      </c>
      <c r="C191" s="9" t="s">
        <v>51</v>
      </c>
      <c r="D191" s="10">
        <v>38261</v>
      </c>
      <c r="E191" s="11">
        <v>1642710160</v>
      </c>
      <c r="F191" s="12">
        <v>29</v>
      </c>
      <c r="G191" s="4" t="s">
        <v>49</v>
      </c>
      <c r="H191" s="13">
        <v>521</v>
      </c>
      <c r="I191" s="14" t="s">
        <v>22</v>
      </c>
      <c r="J191" s="14" t="s">
        <v>23</v>
      </c>
      <c r="K191" s="14">
        <v>44</v>
      </c>
      <c r="L191" s="15">
        <v>30</v>
      </c>
      <c r="M191" s="15">
        <f t="shared" si="2"/>
        <v>1320</v>
      </c>
      <c r="N191" s="14" t="s">
        <v>30</v>
      </c>
    </row>
    <row r="192" spans="1:14" ht="16.5" customHeight="1" x14ac:dyDescent="0.2">
      <c r="A192" s="7">
        <v>191</v>
      </c>
      <c r="B192" s="8" t="s">
        <v>53</v>
      </c>
      <c r="C192" s="9" t="s">
        <v>51</v>
      </c>
      <c r="D192" s="10">
        <v>39188</v>
      </c>
      <c r="E192" s="11">
        <v>1642710160</v>
      </c>
      <c r="F192" s="12">
        <v>29</v>
      </c>
      <c r="G192" s="4" t="s">
        <v>49</v>
      </c>
      <c r="H192" s="13">
        <v>521</v>
      </c>
      <c r="I192" s="14" t="s">
        <v>22</v>
      </c>
      <c r="J192" s="14" t="s">
        <v>23</v>
      </c>
      <c r="K192" s="14">
        <v>93</v>
      </c>
      <c r="L192" s="15">
        <v>30</v>
      </c>
      <c r="M192" s="15">
        <f t="shared" si="2"/>
        <v>2790</v>
      </c>
      <c r="N192" s="14" t="s">
        <v>30</v>
      </c>
    </row>
    <row r="193" spans="1:14" ht="16.5" customHeight="1" x14ac:dyDescent="0.2">
      <c r="A193" s="7">
        <v>192</v>
      </c>
      <c r="B193" s="8" t="s">
        <v>53</v>
      </c>
      <c r="C193" s="9" t="s">
        <v>51</v>
      </c>
      <c r="D193" s="10">
        <v>40115</v>
      </c>
      <c r="E193" s="11">
        <v>1642710160</v>
      </c>
      <c r="F193" s="12">
        <v>29</v>
      </c>
      <c r="G193" s="4" t="s">
        <v>49</v>
      </c>
      <c r="H193" s="13">
        <v>521</v>
      </c>
      <c r="I193" s="14" t="s">
        <v>22</v>
      </c>
      <c r="J193" s="14" t="s">
        <v>23</v>
      </c>
      <c r="K193" s="14">
        <v>62</v>
      </c>
      <c r="L193" s="15">
        <v>30</v>
      </c>
      <c r="M193" s="15">
        <f t="shared" si="2"/>
        <v>1860</v>
      </c>
      <c r="N193" s="14" t="s">
        <v>30</v>
      </c>
    </row>
    <row r="194" spans="1:14" ht="16.5" customHeight="1" x14ac:dyDescent="0.2">
      <c r="A194" s="7">
        <v>193</v>
      </c>
      <c r="B194" s="8" t="s">
        <v>52</v>
      </c>
      <c r="C194" s="9" t="s">
        <v>51</v>
      </c>
      <c r="D194" s="10">
        <v>34868</v>
      </c>
      <c r="E194" s="11">
        <v>5511549800</v>
      </c>
      <c r="F194" s="12">
        <v>29</v>
      </c>
      <c r="G194" s="4" t="s">
        <v>49</v>
      </c>
      <c r="H194" s="13">
        <v>454</v>
      </c>
      <c r="I194" s="14" t="s">
        <v>38</v>
      </c>
      <c r="J194" s="14" t="s">
        <v>18</v>
      </c>
      <c r="K194" s="14">
        <v>25</v>
      </c>
      <c r="L194" s="15">
        <v>15</v>
      </c>
      <c r="M194" s="15">
        <f t="shared" ref="M194:M257" si="3">L194*K194</f>
        <v>375</v>
      </c>
      <c r="N194" s="16" t="s">
        <v>19</v>
      </c>
    </row>
    <row r="195" spans="1:14" ht="16.5" customHeight="1" x14ac:dyDescent="0.2">
      <c r="A195" s="7">
        <v>194</v>
      </c>
      <c r="B195" s="8" t="s">
        <v>52</v>
      </c>
      <c r="C195" s="9" t="s">
        <v>51</v>
      </c>
      <c r="D195" s="10">
        <v>34886</v>
      </c>
      <c r="E195" s="11">
        <v>889708731</v>
      </c>
      <c r="F195" s="12">
        <v>16</v>
      </c>
      <c r="G195" s="4" t="s">
        <v>54</v>
      </c>
      <c r="H195" s="13">
        <v>568</v>
      </c>
      <c r="I195" s="14" t="s">
        <v>28</v>
      </c>
      <c r="J195" s="14" t="s">
        <v>29</v>
      </c>
      <c r="K195" s="14">
        <v>88</v>
      </c>
      <c r="L195" s="15">
        <v>1</v>
      </c>
      <c r="M195" s="15">
        <f t="shared" si="3"/>
        <v>88</v>
      </c>
      <c r="N195" s="14" t="s">
        <v>30</v>
      </c>
    </row>
    <row r="196" spans="1:14" ht="16.5" customHeight="1" x14ac:dyDescent="0.2">
      <c r="A196" s="7">
        <v>195</v>
      </c>
      <c r="B196" s="8" t="s">
        <v>52</v>
      </c>
      <c r="C196" s="9" t="s">
        <v>51</v>
      </c>
      <c r="D196" s="10">
        <v>34931</v>
      </c>
      <c r="E196" s="11">
        <v>3576436279</v>
      </c>
      <c r="F196" s="12">
        <v>16</v>
      </c>
      <c r="G196" s="4" t="s">
        <v>54</v>
      </c>
      <c r="H196" s="13">
        <v>240</v>
      </c>
      <c r="I196" s="14" t="s">
        <v>17</v>
      </c>
      <c r="J196" s="14" t="s">
        <v>18</v>
      </c>
      <c r="K196" s="14">
        <v>97</v>
      </c>
      <c r="L196" s="15">
        <v>45</v>
      </c>
      <c r="M196" s="15">
        <f t="shared" si="3"/>
        <v>4365</v>
      </c>
      <c r="N196" s="16" t="s">
        <v>19</v>
      </c>
    </row>
    <row r="197" spans="1:14" ht="16.5" customHeight="1" x14ac:dyDescent="0.2">
      <c r="A197" s="7">
        <v>196</v>
      </c>
      <c r="B197" s="8" t="s">
        <v>52</v>
      </c>
      <c r="C197" s="9" t="s">
        <v>51</v>
      </c>
      <c r="D197" s="10">
        <v>35795</v>
      </c>
      <c r="E197" s="11">
        <v>5511549800</v>
      </c>
      <c r="F197" s="12">
        <v>16</v>
      </c>
      <c r="G197" s="4" t="s">
        <v>54</v>
      </c>
      <c r="H197" s="13">
        <v>454</v>
      </c>
      <c r="I197" s="14" t="s">
        <v>38</v>
      </c>
      <c r="J197" s="14" t="s">
        <v>18</v>
      </c>
      <c r="K197" s="14">
        <v>82</v>
      </c>
      <c r="L197" s="15">
        <v>15</v>
      </c>
      <c r="M197" s="15">
        <f t="shared" si="3"/>
        <v>1230</v>
      </c>
      <c r="N197" s="16" t="s">
        <v>19</v>
      </c>
    </row>
    <row r="198" spans="1:14" ht="16.5" customHeight="1" x14ac:dyDescent="0.2">
      <c r="A198" s="7">
        <v>197</v>
      </c>
      <c r="B198" s="8" t="s">
        <v>52</v>
      </c>
      <c r="C198" s="9" t="s">
        <v>51</v>
      </c>
      <c r="D198" s="10">
        <v>35813</v>
      </c>
      <c r="E198" s="11">
        <v>889708731</v>
      </c>
      <c r="F198" s="12">
        <v>16</v>
      </c>
      <c r="G198" s="4" t="s">
        <v>54</v>
      </c>
      <c r="H198" s="13">
        <v>568</v>
      </c>
      <c r="I198" s="14" t="s">
        <v>28</v>
      </c>
      <c r="J198" s="14" t="s">
        <v>29</v>
      </c>
      <c r="K198" s="14">
        <v>25</v>
      </c>
      <c r="L198" s="15">
        <v>1</v>
      </c>
      <c r="M198" s="15">
        <f t="shared" si="3"/>
        <v>25</v>
      </c>
      <c r="N198" s="14" t="s">
        <v>30</v>
      </c>
    </row>
    <row r="199" spans="1:14" ht="16.5" customHeight="1" x14ac:dyDescent="0.2">
      <c r="A199" s="7">
        <v>198</v>
      </c>
      <c r="B199" s="8" t="s">
        <v>52</v>
      </c>
      <c r="C199" s="9" t="s">
        <v>51</v>
      </c>
      <c r="D199" s="10">
        <v>35858</v>
      </c>
      <c r="E199" s="11">
        <v>3576436279</v>
      </c>
      <c r="F199" s="12">
        <v>16</v>
      </c>
      <c r="G199" s="4" t="s">
        <v>54</v>
      </c>
      <c r="H199" s="13">
        <v>240</v>
      </c>
      <c r="I199" s="14" t="s">
        <v>17</v>
      </c>
      <c r="J199" s="14" t="s">
        <v>18</v>
      </c>
      <c r="K199" s="14">
        <v>50</v>
      </c>
      <c r="L199" s="15">
        <v>45</v>
      </c>
      <c r="M199" s="15">
        <f t="shared" si="3"/>
        <v>2250</v>
      </c>
      <c r="N199" s="16" t="s">
        <v>19</v>
      </c>
    </row>
    <row r="200" spans="1:14" ht="16.5" customHeight="1" x14ac:dyDescent="0.2">
      <c r="A200" s="7">
        <v>199</v>
      </c>
      <c r="B200" s="8" t="s">
        <v>52</v>
      </c>
      <c r="C200" s="9" t="s">
        <v>51</v>
      </c>
      <c r="D200" s="10">
        <v>36722</v>
      </c>
      <c r="E200" s="11">
        <v>5511549800</v>
      </c>
      <c r="F200" s="12">
        <v>16</v>
      </c>
      <c r="G200" s="4" t="s">
        <v>54</v>
      </c>
      <c r="H200" s="13">
        <v>454</v>
      </c>
      <c r="I200" s="14" t="s">
        <v>38</v>
      </c>
      <c r="J200" s="14" t="s">
        <v>18</v>
      </c>
      <c r="K200" s="14">
        <v>75</v>
      </c>
      <c r="L200" s="15">
        <v>15</v>
      </c>
      <c r="M200" s="15">
        <f t="shared" si="3"/>
        <v>1125</v>
      </c>
      <c r="N200" s="16" t="s">
        <v>19</v>
      </c>
    </row>
    <row r="201" spans="1:14" ht="16.5" customHeight="1" x14ac:dyDescent="0.2">
      <c r="A201" s="7">
        <v>200</v>
      </c>
      <c r="B201" s="8" t="s">
        <v>52</v>
      </c>
      <c r="C201" s="9" t="s">
        <v>51</v>
      </c>
      <c r="D201" s="10">
        <v>36740</v>
      </c>
      <c r="E201" s="11">
        <v>889708731</v>
      </c>
      <c r="F201" s="12">
        <v>16</v>
      </c>
      <c r="G201" s="4" t="s">
        <v>54</v>
      </c>
      <c r="H201" s="13">
        <v>568</v>
      </c>
      <c r="I201" s="14" t="s">
        <v>28</v>
      </c>
      <c r="J201" s="14" t="s">
        <v>29</v>
      </c>
      <c r="K201" s="14">
        <v>21</v>
      </c>
      <c r="L201" s="15">
        <v>1</v>
      </c>
      <c r="M201" s="15">
        <f t="shared" si="3"/>
        <v>21</v>
      </c>
      <c r="N201" s="14" t="s">
        <v>30</v>
      </c>
    </row>
    <row r="202" spans="1:14" ht="16.5" customHeight="1" x14ac:dyDescent="0.2">
      <c r="A202" s="7">
        <v>201</v>
      </c>
      <c r="B202" s="8" t="s">
        <v>52</v>
      </c>
      <c r="C202" s="9" t="s">
        <v>42</v>
      </c>
      <c r="D202" s="10">
        <v>36785</v>
      </c>
      <c r="E202" s="11">
        <v>3576436279</v>
      </c>
      <c r="F202" s="12">
        <v>16</v>
      </c>
      <c r="G202" s="4" t="s">
        <v>54</v>
      </c>
      <c r="H202" s="13">
        <v>240</v>
      </c>
      <c r="I202" s="14" t="s">
        <v>17</v>
      </c>
      <c r="J202" s="14" t="s">
        <v>18</v>
      </c>
      <c r="K202" s="14">
        <v>60</v>
      </c>
      <c r="L202" s="15">
        <v>45</v>
      </c>
      <c r="M202" s="15">
        <f t="shared" si="3"/>
        <v>2700</v>
      </c>
      <c r="N202" s="16" t="s">
        <v>19</v>
      </c>
    </row>
    <row r="203" spans="1:14" ht="16.5" customHeight="1" x14ac:dyDescent="0.2">
      <c r="A203" s="7">
        <v>202</v>
      </c>
      <c r="B203" s="8" t="s">
        <v>52</v>
      </c>
      <c r="C203" s="9" t="s">
        <v>42</v>
      </c>
      <c r="D203" s="10">
        <v>37649</v>
      </c>
      <c r="E203" s="11">
        <v>5511549800</v>
      </c>
      <c r="F203" s="12">
        <v>16</v>
      </c>
      <c r="G203" s="4" t="s">
        <v>54</v>
      </c>
      <c r="H203" s="13">
        <v>454</v>
      </c>
      <c r="I203" s="14" t="s">
        <v>38</v>
      </c>
      <c r="J203" s="14" t="s">
        <v>18</v>
      </c>
      <c r="K203" s="14">
        <v>56</v>
      </c>
      <c r="L203" s="15">
        <v>15</v>
      </c>
      <c r="M203" s="15">
        <f t="shared" si="3"/>
        <v>840</v>
      </c>
      <c r="N203" s="16" t="s">
        <v>19</v>
      </c>
    </row>
    <row r="204" spans="1:14" ht="16.5" customHeight="1" x14ac:dyDescent="0.2">
      <c r="A204" s="7">
        <v>203</v>
      </c>
      <c r="B204" s="8" t="s">
        <v>52</v>
      </c>
      <c r="C204" s="9" t="s">
        <v>42</v>
      </c>
      <c r="D204" s="10">
        <v>37667</v>
      </c>
      <c r="E204" s="11">
        <v>889708731</v>
      </c>
      <c r="F204" s="12">
        <v>16</v>
      </c>
      <c r="G204" s="4" t="s">
        <v>54</v>
      </c>
      <c r="H204" s="13">
        <v>568</v>
      </c>
      <c r="I204" s="14" t="s">
        <v>28</v>
      </c>
      <c r="J204" s="14" t="s">
        <v>29</v>
      </c>
      <c r="K204" s="14">
        <v>60</v>
      </c>
      <c r="L204" s="15">
        <v>1</v>
      </c>
      <c r="M204" s="15">
        <f t="shared" si="3"/>
        <v>60</v>
      </c>
      <c r="N204" s="14" t="s">
        <v>30</v>
      </c>
    </row>
    <row r="205" spans="1:14" ht="16.5" customHeight="1" x14ac:dyDescent="0.2">
      <c r="A205" s="7">
        <v>204</v>
      </c>
      <c r="B205" s="8" t="s">
        <v>52</v>
      </c>
      <c r="C205" s="9" t="s">
        <v>42</v>
      </c>
      <c r="D205" s="10">
        <v>37712</v>
      </c>
      <c r="E205" s="11">
        <v>3576436279</v>
      </c>
      <c r="F205" s="12">
        <v>16</v>
      </c>
      <c r="G205" s="4" t="s">
        <v>54</v>
      </c>
      <c r="H205" s="13">
        <v>240</v>
      </c>
      <c r="I205" s="14" t="s">
        <v>17</v>
      </c>
      <c r="J205" s="14" t="s">
        <v>18</v>
      </c>
      <c r="K205" s="14">
        <v>80</v>
      </c>
      <c r="L205" s="15">
        <v>45</v>
      </c>
      <c r="M205" s="15">
        <f t="shared" si="3"/>
        <v>3600</v>
      </c>
      <c r="N205" s="16" t="s">
        <v>19</v>
      </c>
    </row>
    <row r="206" spans="1:14" ht="16.5" customHeight="1" x14ac:dyDescent="0.2">
      <c r="A206" s="7">
        <v>205</v>
      </c>
      <c r="B206" s="8" t="s">
        <v>52</v>
      </c>
      <c r="C206" s="9" t="s">
        <v>42</v>
      </c>
      <c r="D206" s="10">
        <v>38576</v>
      </c>
      <c r="E206" s="11">
        <v>5511549800</v>
      </c>
      <c r="F206" s="12">
        <v>16</v>
      </c>
      <c r="G206" s="4" t="s">
        <v>54</v>
      </c>
      <c r="H206" s="13">
        <v>454</v>
      </c>
      <c r="I206" s="14" t="s">
        <v>38</v>
      </c>
      <c r="J206" s="14" t="s">
        <v>18</v>
      </c>
      <c r="K206" s="14">
        <v>68</v>
      </c>
      <c r="L206" s="15">
        <v>15</v>
      </c>
      <c r="M206" s="15">
        <f t="shared" si="3"/>
        <v>1020</v>
      </c>
      <c r="N206" s="16" t="s">
        <v>19</v>
      </c>
    </row>
    <row r="207" spans="1:14" ht="16.5" customHeight="1" x14ac:dyDescent="0.2">
      <c r="A207" s="7">
        <v>206</v>
      </c>
      <c r="B207" s="8" t="s">
        <v>52</v>
      </c>
      <c r="C207" s="9" t="s">
        <v>42</v>
      </c>
      <c r="D207" s="10">
        <v>38594</v>
      </c>
      <c r="E207" s="11">
        <v>889708731</v>
      </c>
      <c r="F207" s="12">
        <v>16</v>
      </c>
      <c r="G207" s="4" t="s">
        <v>54</v>
      </c>
      <c r="H207" s="13">
        <v>568</v>
      </c>
      <c r="I207" s="14" t="s">
        <v>28</v>
      </c>
      <c r="J207" s="14" t="s">
        <v>29</v>
      </c>
      <c r="K207" s="14">
        <v>73</v>
      </c>
      <c r="L207" s="15">
        <v>1</v>
      </c>
      <c r="M207" s="15">
        <f t="shared" si="3"/>
        <v>73</v>
      </c>
      <c r="N207" s="14" t="s">
        <v>30</v>
      </c>
    </row>
    <row r="208" spans="1:14" ht="16.5" customHeight="1" x14ac:dyDescent="0.2">
      <c r="A208" s="7">
        <v>207</v>
      </c>
      <c r="B208" s="8" t="s">
        <v>52</v>
      </c>
      <c r="C208" s="9" t="s">
        <v>42</v>
      </c>
      <c r="D208" s="10">
        <v>38639</v>
      </c>
      <c r="E208" s="11">
        <v>3576436279</v>
      </c>
      <c r="F208" s="12">
        <v>16</v>
      </c>
      <c r="G208" s="4" t="s">
        <v>54</v>
      </c>
      <c r="H208" s="13">
        <v>240</v>
      </c>
      <c r="I208" s="14" t="s">
        <v>17</v>
      </c>
      <c r="J208" s="14" t="s">
        <v>18</v>
      </c>
      <c r="K208" s="14">
        <v>79</v>
      </c>
      <c r="L208" s="15">
        <v>45</v>
      </c>
      <c r="M208" s="15">
        <f t="shared" si="3"/>
        <v>3555</v>
      </c>
      <c r="N208" s="16" t="s">
        <v>19</v>
      </c>
    </row>
    <row r="209" spans="1:14" ht="16.5" customHeight="1" x14ac:dyDescent="0.2">
      <c r="A209" s="7">
        <v>208</v>
      </c>
      <c r="B209" s="8" t="s">
        <v>52</v>
      </c>
      <c r="C209" s="9" t="s">
        <v>42</v>
      </c>
      <c r="D209" s="10">
        <v>39503</v>
      </c>
      <c r="E209" s="11">
        <v>5511549800</v>
      </c>
      <c r="F209" s="12">
        <v>16</v>
      </c>
      <c r="G209" s="4" t="s">
        <v>54</v>
      </c>
      <c r="H209" s="13">
        <v>454</v>
      </c>
      <c r="I209" s="14" t="s">
        <v>38</v>
      </c>
      <c r="J209" s="14" t="s">
        <v>18</v>
      </c>
      <c r="K209" s="14">
        <v>87</v>
      </c>
      <c r="L209" s="15">
        <v>15</v>
      </c>
      <c r="M209" s="15">
        <f t="shared" si="3"/>
        <v>1305</v>
      </c>
      <c r="N209" s="16" t="s">
        <v>19</v>
      </c>
    </row>
    <row r="210" spans="1:14" ht="16.5" customHeight="1" x14ac:dyDescent="0.2">
      <c r="A210" s="7">
        <v>209</v>
      </c>
      <c r="B210" s="8" t="s">
        <v>52</v>
      </c>
      <c r="C210" s="9" t="s">
        <v>42</v>
      </c>
      <c r="D210" s="10">
        <v>39521</v>
      </c>
      <c r="E210" s="11">
        <v>889708731</v>
      </c>
      <c r="F210" s="12">
        <v>16</v>
      </c>
      <c r="G210" s="4" t="s">
        <v>54</v>
      </c>
      <c r="H210" s="13">
        <v>568</v>
      </c>
      <c r="I210" s="14" t="s">
        <v>28</v>
      </c>
      <c r="J210" s="14" t="s">
        <v>29</v>
      </c>
      <c r="K210" s="14">
        <v>86</v>
      </c>
      <c r="L210" s="15">
        <v>1</v>
      </c>
      <c r="M210" s="15">
        <f t="shared" si="3"/>
        <v>86</v>
      </c>
      <c r="N210" s="14" t="s">
        <v>30</v>
      </c>
    </row>
    <row r="211" spans="1:14" ht="16.5" customHeight="1" x14ac:dyDescent="0.2">
      <c r="A211" s="7">
        <v>210</v>
      </c>
      <c r="B211" s="8" t="s">
        <v>52</v>
      </c>
      <c r="C211" s="9" t="s">
        <v>42</v>
      </c>
      <c r="D211" s="10">
        <v>39566</v>
      </c>
      <c r="E211" s="11">
        <v>3576436279</v>
      </c>
      <c r="F211" s="12">
        <v>16</v>
      </c>
      <c r="G211" s="4" t="s">
        <v>54</v>
      </c>
      <c r="H211" s="13">
        <v>240</v>
      </c>
      <c r="I211" s="14" t="s">
        <v>17</v>
      </c>
      <c r="J211" s="14" t="s">
        <v>18</v>
      </c>
      <c r="K211" s="14">
        <v>47</v>
      </c>
      <c r="L211" s="15">
        <v>45</v>
      </c>
      <c r="M211" s="15">
        <f t="shared" si="3"/>
        <v>2115</v>
      </c>
      <c r="N211" s="16" t="s">
        <v>19</v>
      </c>
    </row>
    <row r="212" spans="1:14" ht="16.5" customHeight="1" x14ac:dyDescent="0.2">
      <c r="A212" s="7">
        <v>211</v>
      </c>
      <c r="B212" s="8" t="s">
        <v>55</v>
      </c>
      <c r="C212" s="9" t="s">
        <v>42</v>
      </c>
      <c r="D212" s="10">
        <v>35012</v>
      </c>
      <c r="E212" s="11">
        <v>6503045780</v>
      </c>
      <c r="F212" s="12">
        <v>16</v>
      </c>
      <c r="G212" s="4" t="s">
        <v>54</v>
      </c>
      <c r="H212" s="13">
        <v>534</v>
      </c>
      <c r="I212" s="14" t="s">
        <v>17</v>
      </c>
      <c r="J212" s="14" t="s">
        <v>18</v>
      </c>
      <c r="K212" s="14">
        <v>73</v>
      </c>
      <c r="L212" s="15">
        <v>25</v>
      </c>
      <c r="M212" s="15">
        <f t="shared" si="3"/>
        <v>1825</v>
      </c>
      <c r="N212" s="14" t="s">
        <v>30</v>
      </c>
    </row>
    <row r="213" spans="1:14" ht="16.5" customHeight="1" x14ac:dyDescent="0.2">
      <c r="A213" s="7">
        <v>212</v>
      </c>
      <c r="B213" s="8" t="s">
        <v>55</v>
      </c>
      <c r="C213" s="9" t="s">
        <v>42</v>
      </c>
      <c r="D213" s="10">
        <v>35939</v>
      </c>
      <c r="E213" s="11">
        <v>6503045780</v>
      </c>
      <c r="F213" s="12">
        <v>16</v>
      </c>
      <c r="G213" s="4" t="s">
        <v>54</v>
      </c>
      <c r="H213" s="13">
        <v>534</v>
      </c>
      <c r="I213" s="14" t="s">
        <v>17</v>
      </c>
      <c r="J213" s="14" t="s">
        <v>18</v>
      </c>
      <c r="K213" s="14">
        <v>35</v>
      </c>
      <c r="L213" s="15">
        <v>25</v>
      </c>
      <c r="M213" s="15">
        <f t="shared" si="3"/>
        <v>875</v>
      </c>
      <c r="N213" s="14" t="s">
        <v>30</v>
      </c>
    </row>
    <row r="214" spans="1:14" ht="16.5" customHeight="1" x14ac:dyDescent="0.2">
      <c r="A214" s="7">
        <v>213</v>
      </c>
      <c r="B214" s="8" t="s">
        <v>55</v>
      </c>
      <c r="C214" s="9" t="s">
        <v>42</v>
      </c>
      <c r="D214" s="10">
        <v>36866</v>
      </c>
      <c r="E214" s="11">
        <v>6503045780</v>
      </c>
      <c r="F214" s="12">
        <v>16</v>
      </c>
      <c r="G214" s="4" t="s">
        <v>54</v>
      </c>
      <c r="H214" s="13">
        <v>534</v>
      </c>
      <c r="I214" s="14" t="s">
        <v>17</v>
      </c>
      <c r="J214" s="14" t="s">
        <v>18</v>
      </c>
      <c r="K214" s="14">
        <v>47</v>
      </c>
      <c r="L214" s="15">
        <v>25</v>
      </c>
      <c r="M214" s="15">
        <f t="shared" si="3"/>
        <v>1175</v>
      </c>
      <c r="N214" s="14" t="s">
        <v>30</v>
      </c>
    </row>
    <row r="215" spans="1:14" ht="16.5" customHeight="1" x14ac:dyDescent="0.2">
      <c r="A215" s="7">
        <v>214</v>
      </c>
      <c r="B215" s="8" t="s">
        <v>55</v>
      </c>
      <c r="C215" s="9" t="s">
        <v>42</v>
      </c>
      <c r="D215" s="10">
        <v>37793</v>
      </c>
      <c r="E215" s="11">
        <v>6503045780</v>
      </c>
      <c r="F215" s="12">
        <v>16</v>
      </c>
      <c r="G215" s="4" t="s">
        <v>54</v>
      </c>
      <c r="H215" s="13">
        <v>534</v>
      </c>
      <c r="I215" s="14" t="s">
        <v>17</v>
      </c>
      <c r="J215" s="14" t="s">
        <v>18</v>
      </c>
      <c r="K215" s="14">
        <v>93</v>
      </c>
      <c r="L215" s="15">
        <v>25</v>
      </c>
      <c r="M215" s="15">
        <f t="shared" si="3"/>
        <v>2325</v>
      </c>
      <c r="N215" s="14" t="s">
        <v>30</v>
      </c>
    </row>
    <row r="216" spans="1:14" ht="16.5" customHeight="1" x14ac:dyDescent="0.2">
      <c r="A216" s="7">
        <v>215</v>
      </c>
      <c r="B216" s="8" t="s">
        <v>55</v>
      </c>
      <c r="C216" s="9" t="s">
        <v>42</v>
      </c>
      <c r="D216" s="10">
        <v>38720</v>
      </c>
      <c r="E216" s="11">
        <v>6503045780</v>
      </c>
      <c r="F216" s="12">
        <v>16</v>
      </c>
      <c r="G216" s="4" t="s">
        <v>54</v>
      </c>
      <c r="H216" s="13">
        <v>534</v>
      </c>
      <c r="I216" s="14" t="s">
        <v>17</v>
      </c>
      <c r="J216" s="14" t="s">
        <v>18</v>
      </c>
      <c r="K216" s="14">
        <v>95</v>
      </c>
      <c r="L216" s="15">
        <v>25</v>
      </c>
      <c r="M216" s="15">
        <f t="shared" si="3"/>
        <v>2375</v>
      </c>
      <c r="N216" s="14" t="s">
        <v>30</v>
      </c>
    </row>
    <row r="217" spans="1:14" ht="16.5" customHeight="1" x14ac:dyDescent="0.2">
      <c r="A217" s="7">
        <v>216</v>
      </c>
      <c r="B217" s="8" t="s">
        <v>55</v>
      </c>
      <c r="C217" s="9" t="s">
        <v>42</v>
      </c>
      <c r="D217" s="10">
        <v>39647</v>
      </c>
      <c r="E217" s="11">
        <v>6503045780</v>
      </c>
      <c r="F217" s="12">
        <v>16</v>
      </c>
      <c r="G217" s="4" t="s">
        <v>54</v>
      </c>
      <c r="H217" s="13">
        <v>534</v>
      </c>
      <c r="I217" s="14" t="s">
        <v>17</v>
      </c>
      <c r="J217" s="14" t="s">
        <v>18</v>
      </c>
      <c r="K217" s="14">
        <v>42</v>
      </c>
      <c r="L217" s="15">
        <v>25</v>
      </c>
      <c r="M217" s="15">
        <f t="shared" si="3"/>
        <v>1050</v>
      </c>
      <c r="N217" s="14" t="s">
        <v>30</v>
      </c>
    </row>
    <row r="218" spans="1:14" ht="16.5" customHeight="1" x14ac:dyDescent="0.2">
      <c r="A218" s="7">
        <v>217</v>
      </c>
      <c r="B218" s="8" t="s">
        <v>14</v>
      </c>
      <c r="C218" s="9" t="s">
        <v>15</v>
      </c>
      <c r="D218" s="10">
        <v>35147</v>
      </c>
      <c r="E218" s="11">
        <v>4829025444</v>
      </c>
      <c r="F218" s="12">
        <v>26</v>
      </c>
      <c r="G218" s="4" t="s">
        <v>56</v>
      </c>
      <c r="H218" s="13">
        <v>195</v>
      </c>
      <c r="I218" s="14" t="s">
        <v>36</v>
      </c>
      <c r="J218" s="14" t="s">
        <v>18</v>
      </c>
      <c r="K218" s="14">
        <v>96</v>
      </c>
      <c r="L218" s="15">
        <v>60</v>
      </c>
      <c r="M218" s="15">
        <f t="shared" si="3"/>
        <v>5760</v>
      </c>
      <c r="N218" s="14" t="s">
        <v>30</v>
      </c>
    </row>
    <row r="219" spans="1:14" ht="16.5" customHeight="1" x14ac:dyDescent="0.2">
      <c r="A219" s="7">
        <v>218</v>
      </c>
      <c r="B219" s="8" t="s">
        <v>14</v>
      </c>
      <c r="C219" s="9" t="s">
        <v>15</v>
      </c>
      <c r="D219" s="10">
        <v>35156</v>
      </c>
      <c r="E219" s="11">
        <v>6087335766</v>
      </c>
      <c r="F219" s="12">
        <v>26</v>
      </c>
      <c r="G219" s="4" t="s">
        <v>56</v>
      </c>
      <c r="H219" s="13">
        <v>896</v>
      </c>
      <c r="I219" s="14" t="s">
        <v>38</v>
      </c>
      <c r="J219" s="14" t="s">
        <v>18</v>
      </c>
      <c r="K219" s="14">
        <v>48</v>
      </c>
      <c r="L219" s="15">
        <v>15</v>
      </c>
      <c r="M219" s="15">
        <f t="shared" si="3"/>
        <v>720</v>
      </c>
      <c r="N219" s="14" t="s">
        <v>25</v>
      </c>
    </row>
    <row r="220" spans="1:14" ht="16.5" customHeight="1" x14ac:dyDescent="0.2">
      <c r="A220" s="7">
        <v>219</v>
      </c>
      <c r="B220" s="8" t="s">
        <v>14</v>
      </c>
      <c r="C220" s="9" t="s">
        <v>15</v>
      </c>
      <c r="D220" s="10">
        <v>36074</v>
      </c>
      <c r="E220" s="11">
        <v>4829025444</v>
      </c>
      <c r="F220" s="12">
        <v>26</v>
      </c>
      <c r="G220" s="4" t="s">
        <v>56</v>
      </c>
      <c r="H220" s="13">
        <v>195</v>
      </c>
      <c r="I220" s="14" t="s">
        <v>36</v>
      </c>
      <c r="J220" s="14" t="s">
        <v>18</v>
      </c>
      <c r="K220" s="14">
        <v>95</v>
      </c>
      <c r="L220" s="15">
        <v>60</v>
      </c>
      <c r="M220" s="15">
        <f t="shared" si="3"/>
        <v>5700</v>
      </c>
      <c r="N220" s="14" t="s">
        <v>30</v>
      </c>
    </row>
    <row r="221" spans="1:14" ht="16.5" customHeight="1" x14ac:dyDescent="0.2">
      <c r="A221" s="7">
        <v>220</v>
      </c>
      <c r="B221" s="8" t="s">
        <v>14</v>
      </c>
      <c r="C221" s="9" t="s">
        <v>15</v>
      </c>
      <c r="D221" s="10">
        <v>36083</v>
      </c>
      <c r="E221" s="11">
        <v>6087335766</v>
      </c>
      <c r="F221" s="12">
        <v>26</v>
      </c>
      <c r="G221" s="4" t="s">
        <v>56</v>
      </c>
      <c r="H221" s="13">
        <v>896</v>
      </c>
      <c r="I221" s="14" t="s">
        <v>38</v>
      </c>
      <c r="J221" s="14" t="s">
        <v>18</v>
      </c>
      <c r="K221" s="14">
        <v>76</v>
      </c>
      <c r="L221" s="15">
        <v>15</v>
      </c>
      <c r="M221" s="15">
        <f t="shared" si="3"/>
        <v>1140</v>
      </c>
      <c r="N221" s="14" t="s">
        <v>25</v>
      </c>
    </row>
    <row r="222" spans="1:14" ht="16.5" customHeight="1" x14ac:dyDescent="0.2">
      <c r="A222" s="7">
        <v>221</v>
      </c>
      <c r="B222" s="8" t="s">
        <v>14</v>
      </c>
      <c r="C222" s="9" t="s">
        <v>15</v>
      </c>
      <c r="D222" s="10">
        <v>37001</v>
      </c>
      <c r="E222" s="11">
        <v>4829025444</v>
      </c>
      <c r="F222" s="12">
        <v>26</v>
      </c>
      <c r="G222" s="4" t="s">
        <v>56</v>
      </c>
      <c r="H222" s="13">
        <v>195</v>
      </c>
      <c r="I222" s="14" t="s">
        <v>36</v>
      </c>
      <c r="J222" s="14" t="s">
        <v>18</v>
      </c>
      <c r="K222" s="14">
        <v>93</v>
      </c>
      <c r="L222" s="15">
        <v>60</v>
      </c>
      <c r="M222" s="15">
        <f t="shared" si="3"/>
        <v>5580</v>
      </c>
      <c r="N222" s="14" t="s">
        <v>30</v>
      </c>
    </row>
    <row r="223" spans="1:14" ht="16.5" customHeight="1" x14ac:dyDescent="0.2">
      <c r="A223" s="7">
        <v>222</v>
      </c>
      <c r="B223" s="8" t="s">
        <v>14</v>
      </c>
      <c r="C223" s="9" t="s">
        <v>15</v>
      </c>
      <c r="D223" s="10">
        <v>37010</v>
      </c>
      <c r="E223" s="11">
        <v>6087335766</v>
      </c>
      <c r="F223" s="12">
        <v>26</v>
      </c>
      <c r="G223" s="4" t="s">
        <v>56</v>
      </c>
      <c r="H223" s="13">
        <v>896</v>
      </c>
      <c r="I223" s="14" t="s">
        <v>38</v>
      </c>
      <c r="J223" s="14" t="s">
        <v>18</v>
      </c>
      <c r="K223" s="14">
        <v>50</v>
      </c>
      <c r="L223" s="15">
        <v>15</v>
      </c>
      <c r="M223" s="15">
        <f t="shared" si="3"/>
        <v>750</v>
      </c>
      <c r="N223" s="14" t="s">
        <v>25</v>
      </c>
    </row>
    <row r="224" spans="1:14" ht="16.5" customHeight="1" x14ac:dyDescent="0.2">
      <c r="A224" s="7">
        <v>223</v>
      </c>
      <c r="B224" s="8" t="s">
        <v>14</v>
      </c>
      <c r="C224" s="9" t="s">
        <v>15</v>
      </c>
      <c r="D224" s="10">
        <v>37928</v>
      </c>
      <c r="E224" s="11">
        <v>4829025444</v>
      </c>
      <c r="F224" s="12">
        <v>26</v>
      </c>
      <c r="G224" s="4" t="s">
        <v>56</v>
      </c>
      <c r="H224" s="13">
        <v>195</v>
      </c>
      <c r="I224" s="14" t="s">
        <v>36</v>
      </c>
      <c r="J224" s="14" t="s">
        <v>18</v>
      </c>
      <c r="K224" s="14">
        <v>30</v>
      </c>
      <c r="L224" s="15">
        <v>60</v>
      </c>
      <c r="M224" s="15">
        <f t="shared" si="3"/>
        <v>1800</v>
      </c>
      <c r="N224" s="14" t="s">
        <v>30</v>
      </c>
    </row>
    <row r="225" spans="1:14" ht="16.5" customHeight="1" x14ac:dyDescent="0.2">
      <c r="A225" s="7">
        <v>224</v>
      </c>
      <c r="B225" s="8" t="s">
        <v>14</v>
      </c>
      <c r="C225" s="9" t="s">
        <v>15</v>
      </c>
      <c r="D225" s="10">
        <v>37937</v>
      </c>
      <c r="E225" s="11">
        <v>6087335766</v>
      </c>
      <c r="F225" s="12">
        <v>26</v>
      </c>
      <c r="G225" s="4" t="s">
        <v>56</v>
      </c>
      <c r="H225" s="13">
        <v>896</v>
      </c>
      <c r="I225" s="14" t="s">
        <v>38</v>
      </c>
      <c r="J225" s="14" t="s">
        <v>18</v>
      </c>
      <c r="K225" s="14">
        <v>36</v>
      </c>
      <c r="L225" s="15">
        <v>15</v>
      </c>
      <c r="M225" s="15">
        <f t="shared" si="3"/>
        <v>540</v>
      </c>
      <c r="N225" s="14" t="s">
        <v>25</v>
      </c>
    </row>
    <row r="226" spans="1:14" ht="16.5" customHeight="1" x14ac:dyDescent="0.2">
      <c r="A226" s="7">
        <v>225</v>
      </c>
      <c r="B226" s="8" t="s">
        <v>14</v>
      </c>
      <c r="C226" s="9" t="s">
        <v>15</v>
      </c>
      <c r="D226" s="10">
        <v>38855</v>
      </c>
      <c r="E226" s="11">
        <v>4829025444</v>
      </c>
      <c r="F226" s="12">
        <v>26</v>
      </c>
      <c r="G226" s="4" t="s">
        <v>56</v>
      </c>
      <c r="H226" s="13">
        <v>195</v>
      </c>
      <c r="I226" s="14" t="s">
        <v>36</v>
      </c>
      <c r="J226" s="14" t="s">
        <v>18</v>
      </c>
      <c r="K226" s="14">
        <v>87</v>
      </c>
      <c r="L226" s="15">
        <v>60</v>
      </c>
      <c r="M226" s="15">
        <f t="shared" si="3"/>
        <v>5220</v>
      </c>
      <c r="N226" s="14" t="s">
        <v>30</v>
      </c>
    </row>
    <row r="227" spans="1:14" ht="16.5" customHeight="1" x14ac:dyDescent="0.2">
      <c r="A227" s="7">
        <v>226</v>
      </c>
      <c r="B227" s="8" t="s">
        <v>14</v>
      </c>
      <c r="C227" s="9" t="s">
        <v>15</v>
      </c>
      <c r="D227" s="10">
        <v>38864</v>
      </c>
      <c r="E227" s="11">
        <v>6087335766</v>
      </c>
      <c r="F227" s="12">
        <v>26</v>
      </c>
      <c r="G227" s="4" t="s">
        <v>56</v>
      </c>
      <c r="H227" s="13">
        <v>896</v>
      </c>
      <c r="I227" s="14" t="s">
        <v>38</v>
      </c>
      <c r="J227" s="14" t="s">
        <v>18</v>
      </c>
      <c r="K227" s="14">
        <v>43</v>
      </c>
      <c r="L227" s="15">
        <v>15</v>
      </c>
      <c r="M227" s="15">
        <f t="shared" si="3"/>
        <v>645</v>
      </c>
      <c r="N227" s="14" t="s">
        <v>25</v>
      </c>
    </row>
    <row r="228" spans="1:14" ht="16.5" customHeight="1" x14ac:dyDescent="0.2">
      <c r="A228" s="7">
        <v>227</v>
      </c>
      <c r="B228" s="8" t="s">
        <v>14</v>
      </c>
      <c r="C228" s="9" t="s">
        <v>15</v>
      </c>
      <c r="D228" s="10">
        <v>39782</v>
      </c>
      <c r="E228" s="11">
        <v>4829025444</v>
      </c>
      <c r="F228" s="12">
        <v>26</v>
      </c>
      <c r="G228" s="4" t="s">
        <v>56</v>
      </c>
      <c r="H228" s="13">
        <v>195</v>
      </c>
      <c r="I228" s="14" t="s">
        <v>36</v>
      </c>
      <c r="J228" s="14" t="s">
        <v>18</v>
      </c>
      <c r="K228" s="14">
        <v>27</v>
      </c>
      <c r="L228" s="15">
        <v>60</v>
      </c>
      <c r="M228" s="15">
        <f t="shared" si="3"/>
        <v>1620</v>
      </c>
      <c r="N228" s="14" t="s">
        <v>30</v>
      </c>
    </row>
    <row r="229" spans="1:14" ht="16.5" customHeight="1" x14ac:dyDescent="0.2">
      <c r="A229" s="7">
        <v>228</v>
      </c>
      <c r="B229" s="8" t="s">
        <v>14</v>
      </c>
      <c r="C229" s="9" t="s">
        <v>15</v>
      </c>
      <c r="D229" s="10">
        <v>39791</v>
      </c>
      <c r="E229" s="11">
        <v>6087335766</v>
      </c>
      <c r="F229" s="12">
        <v>26</v>
      </c>
      <c r="G229" s="4" t="s">
        <v>56</v>
      </c>
      <c r="H229" s="13">
        <v>896</v>
      </c>
      <c r="I229" s="14" t="s">
        <v>38</v>
      </c>
      <c r="J229" s="14" t="s">
        <v>18</v>
      </c>
      <c r="K229" s="14">
        <v>99</v>
      </c>
      <c r="L229" s="15">
        <v>15</v>
      </c>
      <c r="M229" s="15">
        <f t="shared" si="3"/>
        <v>1485</v>
      </c>
      <c r="N229" s="14" t="s">
        <v>25</v>
      </c>
    </row>
    <row r="230" spans="1:14" ht="16.5" customHeight="1" x14ac:dyDescent="0.2">
      <c r="A230" s="7">
        <v>229</v>
      </c>
      <c r="B230" s="8" t="s">
        <v>33</v>
      </c>
      <c r="C230" s="9" t="s">
        <v>15</v>
      </c>
      <c r="D230" s="10">
        <v>35030</v>
      </c>
      <c r="E230" s="11">
        <v>5152908567</v>
      </c>
      <c r="F230" s="12">
        <v>26</v>
      </c>
      <c r="G230" s="4" t="s">
        <v>56</v>
      </c>
      <c r="H230" s="13">
        <v>521</v>
      </c>
      <c r="I230" s="14" t="s">
        <v>22</v>
      </c>
      <c r="J230" s="14" t="s">
        <v>23</v>
      </c>
      <c r="K230" s="14">
        <v>50</v>
      </c>
      <c r="L230" s="15">
        <v>30</v>
      </c>
      <c r="M230" s="15">
        <f t="shared" si="3"/>
        <v>1500</v>
      </c>
      <c r="N230" s="14" t="s">
        <v>25</v>
      </c>
    </row>
    <row r="231" spans="1:14" ht="16.5" customHeight="1" x14ac:dyDescent="0.2">
      <c r="A231" s="7">
        <v>230</v>
      </c>
      <c r="B231" s="8" t="s">
        <v>33</v>
      </c>
      <c r="C231" s="9" t="s">
        <v>15</v>
      </c>
      <c r="D231" s="10">
        <v>35957</v>
      </c>
      <c r="E231" s="11">
        <v>5152908567</v>
      </c>
      <c r="F231" s="12">
        <v>26</v>
      </c>
      <c r="G231" s="4" t="s">
        <v>56</v>
      </c>
      <c r="H231" s="13">
        <v>521</v>
      </c>
      <c r="I231" s="14" t="s">
        <v>22</v>
      </c>
      <c r="J231" s="14" t="s">
        <v>23</v>
      </c>
      <c r="K231" s="14">
        <v>55</v>
      </c>
      <c r="L231" s="15">
        <v>30</v>
      </c>
      <c r="M231" s="15">
        <f t="shared" si="3"/>
        <v>1650</v>
      </c>
      <c r="N231" s="14" t="s">
        <v>25</v>
      </c>
    </row>
    <row r="232" spans="1:14" ht="16.5" customHeight="1" x14ac:dyDescent="0.2">
      <c r="A232" s="7">
        <v>231</v>
      </c>
      <c r="B232" s="8" t="s">
        <v>33</v>
      </c>
      <c r="C232" s="9" t="s">
        <v>15</v>
      </c>
      <c r="D232" s="10">
        <v>36884</v>
      </c>
      <c r="E232" s="11">
        <v>5152908567</v>
      </c>
      <c r="F232" s="12">
        <v>26</v>
      </c>
      <c r="G232" s="4" t="s">
        <v>56</v>
      </c>
      <c r="H232" s="13">
        <v>521</v>
      </c>
      <c r="I232" s="14" t="s">
        <v>22</v>
      </c>
      <c r="J232" s="14" t="s">
        <v>23</v>
      </c>
      <c r="K232" s="14">
        <v>24</v>
      </c>
      <c r="L232" s="15">
        <v>30</v>
      </c>
      <c r="M232" s="15">
        <f t="shared" si="3"/>
        <v>720</v>
      </c>
      <c r="N232" s="14" t="s">
        <v>25</v>
      </c>
    </row>
    <row r="233" spans="1:14" ht="16.5" customHeight="1" x14ac:dyDescent="0.2">
      <c r="A233" s="7">
        <v>232</v>
      </c>
      <c r="B233" s="8" t="s">
        <v>33</v>
      </c>
      <c r="C233" s="9" t="s">
        <v>15</v>
      </c>
      <c r="D233" s="10">
        <v>37811</v>
      </c>
      <c r="E233" s="11">
        <v>5152908567</v>
      </c>
      <c r="F233" s="12">
        <v>26</v>
      </c>
      <c r="G233" s="4" t="s">
        <v>56</v>
      </c>
      <c r="H233" s="13">
        <v>521</v>
      </c>
      <c r="I233" s="14" t="s">
        <v>22</v>
      </c>
      <c r="J233" s="14" t="s">
        <v>23</v>
      </c>
      <c r="K233" s="14">
        <v>55</v>
      </c>
      <c r="L233" s="15">
        <v>30</v>
      </c>
      <c r="M233" s="15">
        <f t="shared" si="3"/>
        <v>1650</v>
      </c>
      <c r="N233" s="14" t="s">
        <v>25</v>
      </c>
    </row>
    <row r="234" spans="1:14" ht="16.5" customHeight="1" x14ac:dyDescent="0.2">
      <c r="A234" s="7">
        <v>233</v>
      </c>
      <c r="B234" s="8" t="s">
        <v>33</v>
      </c>
      <c r="C234" s="9" t="s">
        <v>15</v>
      </c>
      <c r="D234" s="10">
        <v>38738</v>
      </c>
      <c r="E234" s="11">
        <v>5152908567</v>
      </c>
      <c r="F234" s="12">
        <v>26</v>
      </c>
      <c r="G234" s="4" t="s">
        <v>56</v>
      </c>
      <c r="H234" s="13">
        <v>521</v>
      </c>
      <c r="I234" s="14" t="s">
        <v>22</v>
      </c>
      <c r="J234" s="14" t="s">
        <v>23</v>
      </c>
      <c r="K234" s="14">
        <v>87</v>
      </c>
      <c r="L234" s="15">
        <v>30</v>
      </c>
      <c r="M234" s="15">
        <f t="shared" si="3"/>
        <v>2610</v>
      </c>
      <c r="N234" s="14" t="s">
        <v>25</v>
      </c>
    </row>
    <row r="235" spans="1:14" ht="16.5" customHeight="1" x14ac:dyDescent="0.2">
      <c r="A235" s="7">
        <v>234</v>
      </c>
      <c r="B235" s="8" t="s">
        <v>33</v>
      </c>
      <c r="C235" s="9" t="s">
        <v>15</v>
      </c>
      <c r="D235" s="10">
        <v>39665</v>
      </c>
      <c r="E235" s="11">
        <v>5152908567</v>
      </c>
      <c r="F235" s="12">
        <v>26</v>
      </c>
      <c r="G235" s="4" t="s">
        <v>56</v>
      </c>
      <c r="H235" s="13">
        <v>521</v>
      </c>
      <c r="I235" s="14" t="s">
        <v>22</v>
      </c>
      <c r="J235" s="14" t="s">
        <v>23</v>
      </c>
      <c r="K235" s="14">
        <v>22</v>
      </c>
      <c r="L235" s="15">
        <v>30</v>
      </c>
      <c r="M235" s="15">
        <f t="shared" si="3"/>
        <v>660</v>
      </c>
      <c r="N235" s="14" t="s">
        <v>25</v>
      </c>
    </row>
    <row r="236" spans="1:14" ht="16.5" customHeight="1" x14ac:dyDescent="0.2">
      <c r="A236" s="7">
        <v>235</v>
      </c>
      <c r="B236" s="8" t="s">
        <v>37</v>
      </c>
      <c r="C236" s="9" t="s">
        <v>15</v>
      </c>
      <c r="D236" s="10">
        <v>35066</v>
      </c>
      <c r="E236" s="11">
        <v>6002492866</v>
      </c>
      <c r="F236" s="12">
        <v>26</v>
      </c>
      <c r="G236" s="4" t="s">
        <v>56</v>
      </c>
      <c r="H236" s="13">
        <v>454</v>
      </c>
      <c r="I236" s="14" t="s">
        <v>38</v>
      </c>
      <c r="J236" s="14" t="s">
        <v>18</v>
      </c>
      <c r="K236" s="14">
        <v>70</v>
      </c>
      <c r="L236" s="15">
        <v>15</v>
      </c>
      <c r="M236" s="15">
        <f t="shared" si="3"/>
        <v>1050</v>
      </c>
      <c r="N236" s="14" t="s">
        <v>25</v>
      </c>
    </row>
    <row r="237" spans="1:14" ht="16.5" customHeight="1" x14ac:dyDescent="0.2">
      <c r="A237" s="7">
        <v>236</v>
      </c>
      <c r="B237" s="8" t="s">
        <v>37</v>
      </c>
      <c r="C237" s="9" t="s">
        <v>15</v>
      </c>
      <c r="D237" s="10">
        <v>35075</v>
      </c>
      <c r="E237" s="11">
        <v>5459986097</v>
      </c>
      <c r="F237" s="12">
        <v>26</v>
      </c>
      <c r="G237" s="4" t="s">
        <v>56</v>
      </c>
      <c r="H237" s="13">
        <v>240</v>
      </c>
      <c r="I237" s="14" t="s">
        <v>17</v>
      </c>
      <c r="J237" s="14" t="s">
        <v>18</v>
      </c>
      <c r="K237" s="14">
        <v>54</v>
      </c>
      <c r="L237" s="15">
        <v>45</v>
      </c>
      <c r="M237" s="15">
        <f t="shared" si="3"/>
        <v>2430</v>
      </c>
      <c r="N237" s="14" t="s">
        <v>30</v>
      </c>
    </row>
    <row r="238" spans="1:14" ht="16.5" customHeight="1" x14ac:dyDescent="0.2">
      <c r="A238" s="7">
        <v>237</v>
      </c>
      <c r="B238" s="8" t="s">
        <v>37</v>
      </c>
      <c r="C238" s="9" t="s">
        <v>15</v>
      </c>
      <c r="D238" s="10">
        <v>35102</v>
      </c>
      <c r="E238" s="11">
        <v>6376647869</v>
      </c>
      <c r="F238" s="12">
        <v>26</v>
      </c>
      <c r="G238" s="4" t="s">
        <v>56</v>
      </c>
      <c r="H238" s="13">
        <v>521</v>
      </c>
      <c r="I238" s="14" t="s">
        <v>22</v>
      </c>
      <c r="J238" s="14" t="s">
        <v>23</v>
      </c>
      <c r="K238" s="14">
        <v>29</v>
      </c>
      <c r="L238" s="15">
        <v>30</v>
      </c>
      <c r="M238" s="15">
        <f t="shared" si="3"/>
        <v>870</v>
      </c>
      <c r="N238" s="14" t="s">
        <v>30</v>
      </c>
    </row>
    <row r="239" spans="1:14" ht="16.5" customHeight="1" x14ac:dyDescent="0.2">
      <c r="A239" s="7">
        <v>238</v>
      </c>
      <c r="B239" s="8" t="s">
        <v>37</v>
      </c>
      <c r="C239" s="9" t="s">
        <v>15</v>
      </c>
      <c r="D239" s="10">
        <v>35993</v>
      </c>
      <c r="E239" s="11">
        <v>6002492866</v>
      </c>
      <c r="F239" s="12">
        <v>26</v>
      </c>
      <c r="G239" s="4" t="s">
        <v>56</v>
      </c>
      <c r="H239" s="13">
        <v>454</v>
      </c>
      <c r="I239" s="14" t="s">
        <v>38</v>
      </c>
      <c r="J239" s="14" t="s">
        <v>18</v>
      </c>
      <c r="K239" s="14">
        <v>42</v>
      </c>
      <c r="L239" s="15">
        <v>15</v>
      </c>
      <c r="M239" s="15">
        <f t="shared" si="3"/>
        <v>630</v>
      </c>
      <c r="N239" s="14" t="s">
        <v>25</v>
      </c>
    </row>
    <row r="240" spans="1:14" ht="16.5" customHeight="1" x14ac:dyDescent="0.2">
      <c r="A240" s="7">
        <v>239</v>
      </c>
      <c r="B240" s="8" t="s">
        <v>37</v>
      </c>
      <c r="C240" s="9" t="s">
        <v>15</v>
      </c>
      <c r="D240" s="10">
        <v>36002</v>
      </c>
      <c r="E240" s="11">
        <v>5459986097</v>
      </c>
      <c r="F240" s="12">
        <v>26</v>
      </c>
      <c r="G240" s="4" t="s">
        <v>56</v>
      </c>
      <c r="H240" s="13">
        <v>240</v>
      </c>
      <c r="I240" s="14" t="s">
        <v>17</v>
      </c>
      <c r="J240" s="14" t="s">
        <v>18</v>
      </c>
      <c r="K240" s="14">
        <v>27</v>
      </c>
      <c r="L240" s="15">
        <v>45</v>
      </c>
      <c r="M240" s="15">
        <f t="shared" si="3"/>
        <v>1215</v>
      </c>
      <c r="N240" s="14" t="s">
        <v>30</v>
      </c>
    </row>
    <row r="241" spans="1:14" ht="16.5" customHeight="1" x14ac:dyDescent="0.2">
      <c r="A241" s="7">
        <v>240</v>
      </c>
      <c r="B241" s="8" t="s">
        <v>37</v>
      </c>
      <c r="C241" s="9" t="s">
        <v>15</v>
      </c>
      <c r="D241" s="10">
        <v>36029</v>
      </c>
      <c r="E241" s="11">
        <v>6376647869</v>
      </c>
      <c r="F241" s="12">
        <v>26</v>
      </c>
      <c r="G241" s="4" t="s">
        <v>56</v>
      </c>
      <c r="H241" s="13">
        <v>521</v>
      </c>
      <c r="I241" s="14" t="s">
        <v>22</v>
      </c>
      <c r="J241" s="14" t="s">
        <v>23</v>
      </c>
      <c r="K241" s="14">
        <v>96</v>
      </c>
      <c r="L241" s="15">
        <v>30</v>
      </c>
      <c r="M241" s="15">
        <f t="shared" si="3"/>
        <v>2880</v>
      </c>
      <c r="N241" s="14" t="s">
        <v>30</v>
      </c>
    </row>
    <row r="242" spans="1:14" ht="16.5" customHeight="1" x14ac:dyDescent="0.2">
      <c r="A242" s="7">
        <v>241</v>
      </c>
      <c r="B242" s="8" t="s">
        <v>37</v>
      </c>
      <c r="C242" s="9" t="s">
        <v>15</v>
      </c>
      <c r="D242" s="10">
        <v>36920</v>
      </c>
      <c r="E242" s="11">
        <v>6002492866</v>
      </c>
      <c r="F242" s="12">
        <v>26</v>
      </c>
      <c r="G242" s="4" t="s">
        <v>56</v>
      </c>
      <c r="H242" s="13">
        <v>454</v>
      </c>
      <c r="I242" s="14" t="s">
        <v>38</v>
      </c>
      <c r="J242" s="14" t="s">
        <v>18</v>
      </c>
      <c r="K242" s="14">
        <v>39</v>
      </c>
      <c r="L242" s="15">
        <v>15</v>
      </c>
      <c r="M242" s="15">
        <f t="shared" si="3"/>
        <v>585</v>
      </c>
      <c r="N242" s="14" t="s">
        <v>25</v>
      </c>
    </row>
    <row r="243" spans="1:14" ht="16.5" customHeight="1" x14ac:dyDescent="0.2">
      <c r="A243" s="7">
        <v>242</v>
      </c>
      <c r="B243" s="8" t="s">
        <v>37</v>
      </c>
      <c r="C243" s="9" t="s">
        <v>15</v>
      </c>
      <c r="D243" s="10">
        <v>36929</v>
      </c>
      <c r="E243" s="11">
        <v>5459986097</v>
      </c>
      <c r="F243" s="12">
        <v>26</v>
      </c>
      <c r="G243" s="4" t="s">
        <v>56</v>
      </c>
      <c r="H243" s="13">
        <v>240</v>
      </c>
      <c r="I243" s="14" t="s">
        <v>17</v>
      </c>
      <c r="J243" s="14" t="s">
        <v>18</v>
      </c>
      <c r="K243" s="14">
        <v>43</v>
      </c>
      <c r="L243" s="15">
        <v>45</v>
      </c>
      <c r="M243" s="15">
        <f t="shared" si="3"/>
        <v>1935</v>
      </c>
      <c r="N243" s="14" t="s">
        <v>30</v>
      </c>
    </row>
    <row r="244" spans="1:14" ht="16.5" customHeight="1" x14ac:dyDescent="0.2">
      <c r="A244" s="7">
        <v>243</v>
      </c>
      <c r="B244" s="8" t="s">
        <v>37</v>
      </c>
      <c r="C244" s="9" t="s">
        <v>15</v>
      </c>
      <c r="D244" s="10">
        <v>36956</v>
      </c>
      <c r="E244" s="11">
        <v>6376647869</v>
      </c>
      <c r="F244" s="12">
        <v>26</v>
      </c>
      <c r="G244" s="4" t="s">
        <v>56</v>
      </c>
      <c r="H244" s="13">
        <v>521</v>
      </c>
      <c r="I244" s="14" t="s">
        <v>22</v>
      </c>
      <c r="J244" s="14" t="s">
        <v>23</v>
      </c>
      <c r="K244" s="14">
        <v>85</v>
      </c>
      <c r="L244" s="15">
        <v>30</v>
      </c>
      <c r="M244" s="15">
        <f t="shared" si="3"/>
        <v>2550</v>
      </c>
      <c r="N244" s="14" t="s">
        <v>30</v>
      </c>
    </row>
    <row r="245" spans="1:14" ht="16.5" customHeight="1" x14ac:dyDescent="0.2">
      <c r="A245" s="7">
        <v>244</v>
      </c>
      <c r="B245" s="8" t="s">
        <v>37</v>
      </c>
      <c r="C245" s="9" t="s">
        <v>15</v>
      </c>
      <c r="D245" s="10">
        <v>37847</v>
      </c>
      <c r="E245" s="11">
        <v>6002492866</v>
      </c>
      <c r="F245" s="12">
        <v>26</v>
      </c>
      <c r="G245" s="4" t="s">
        <v>56</v>
      </c>
      <c r="H245" s="13">
        <v>454</v>
      </c>
      <c r="I245" s="14" t="s">
        <v>38</v>
      </c>
      <c r="J245" s="14" t="s">
        <v>18</v>
      </c>
      <c r="K245" s="14">
        <v>46</v>
      </c>
      <c r="L245" s="15">
        <v>15</v>
      </c>
      <c r="M245" s="15">
        <f t="shared" si="3"/>
        <v>690</v>
      </c>
      <c r="N245" s="14" t="s">
        <v>25</v>
      </c>
    </row>
    <row r="246" spans="1:14" ht="16.5" customHeight="1" x14ac:dyDescent="0.2">
      <c r="A246" s="7">
        <v>245</v>
      </c>
      <c r="B246" s="8" t="s">
        <v>37</v>
      </c>
      <c r="C246" s="9" t="s">
        <v>15</v>
      </c>
      <c r="D246" s="10">
        <v>37856</v>
      </c>
      <c r="E246" s="11">
        <v>5459986097</v>
      </c>
      <c r="F246" s="12">
        <v>30</v>
      </c>
      <c r="G246" s="4" t="s">
        <v>57</v>
      </c>
      <c r="H246" s="13">
        <v>240</v>
      </c>
      <c r="I246" s="14" t="s">
        <v>17</v>
      </c>
      <c r="J246" s="14" t="s">
        <v>18</v>
      </c>
      <c r="K246" s="14">
        <v>79</v>
      </c>
      <c r="L246" s="15">
        <v>45</v>
      </c>
      <c r="M246" s="15">
        <f t="shared" si="3"/>
        <v>3555</v>
      </c>
      <c r="N246" s="14" t="s">
        <v>30</v>
      </c>
    </row>
    <row r="247" spans="1:14" ht="16.5" customHeight="1" x14ac:dyDescent="0.2">
      <c r="A247" s="7">
        <v>246</v>
      </c>
      <c r="B247" s="8" t="s">
        <v>37</v>
      </c>
      <c r="C247" s="9" t="s">
        <v>15</v>
      </c>
      <c r="D247" s="10">
        <v>37883</v>
      </c>
      <c r="E247" s="11">
        <v>6376647869</v>
      </c>
      <c r="F247" s="12">
        <v>30</v>
      </c>
      <c r="G247" s="4" t="s">
        <v>57</v>
      </c>
      <c r="H247" s="13">
        <v>521</v>
      </c>
      <c r="I247" s="14" t="s">
        <v>22</v>
      </c>
      <c r="J247" s="14" t="s">
        <v>23</v>
      </c>
      <c r="K247" s="14">
        <v>23</v>
      </c>
      <c r="L247" s="15">
        <v>30</v>
      </c>
      <c r="M247" s="15">
        <f t="shared" si="3"/>
        <v>690</v>
      </c>
      <c r="N247" s="14" t="s">
        <v>30</v>
      </c>
    </row>
    <row r="248" spans="1:14" ht="16.5" customHeight="1" x14ac:dyDescent="0.2">
      <c r="A248" s="7">
        <v>247</v>
      </c>
      <c r="B248" s="8" t="s">
        <v>37</v>
      </c>
      <c r="C248" s="9" t="s">
        <v>15</v>
      </c>
      <c r="D248" s="10">
        <v>38774</v>
      </c>
      <c r="E248" s="11">
        <v>6002492866</v>
      </c>
      <c r="F248" s="12">
        <v>30</v>
      </c>
      <c r="G248" s="4" t="s">
        <v>57</v>
      </c>
      <c r="H248" s="13">
        <v>454</v>
      </c>
      <c r="I248" s="14" t="s">
        <v>38</v>
      </c>
      <c r="J248" s="14" t="s">
        <v>18</v>
      </c>
      <c r="K248" s="14">
        <v>31</v>
      </c>
      <c r="L248" s="15">
        <v>15</v>
      </c>
      <c r="M248" s="15">
        <f t="shared" si="3"/>
        <v>465</v>
      </c>
      <c r="N248" s="14" t="s">
        <v>25</v>
      </c>
    </row>
    <row r="249" spans="1:14" ht="16.5" customHeight="1" x14ac:dyDescent="0.2">
      <c r="A249" s="7">
        <v>248</v>
      </c>
      <c r="B249" s="8" t="s">
        <v>37</v>
      </c>
      <c r="C249" s="9" t="s">
        <v>15</v>
      </c>
      <c r="D249" s="10">
        <v>38783</v>
      </c>
      <c r="E249" s="11">
        <v>5459986097</v>
      </c>
      <c r="F249" s="12">
        <v>30</v>
      </c>
      <c r="G249" s="4" t="s">
        <v>57</v>
      </c>
      <c r="H249" s="13">
        <v>240</v>
      </c>
      <c r="I249" s="14" t="s">
        <v>17</v>
      </c>
      <c r="J249" s="14" t="s">
        <v>18</v>
      </c>
      <c r="K249" s="14">
        <v>26</v>
      </c>
      <c r="L249" s="15">
        <v>45</v>
      </c>
      <c r="M249" s="15">
        <f t="shared" si="3"/>
        <v>1170</v>
      </c>
      <c r="N249" s="14" t="s">
        <v>30</v>
      </c>
    </row>
    <row r="250" spans="1:14" ht="16.5" customHeight="1" x14ac:dyDescent="0.2">
      <c r="A250" s="7">
        <v>249</v>
      </c>
      <c r="B250" s="8" t="s">
        <v>37</v>
      </c>
      <c r="C250" s="9" t="s">
        <v>15</v>
      </c>
      <c r="D250" s="10">
        <v>38810</v>
      </c>
      <c r="E250" s="11">
        <v>6376647869</v>
      </c>
      <c r="F250" s="12">
        <v>30</v>
      </c>
      <c r="G250" s="4" t="s">
        <v>57</v>
      </c>
      <c r="H250" s="13">
        <v>521</v>
      </c>
      <c r="I250" s="14" t="s">
        <v>22</v>
      </c>
      <c r="J250" s="14" t="s">
        <v>23</v>
      </c>
      <c r="K250" s="14">
        <v>47</v>
      </c>
      <c r="L250" s="15">
        <v>30</v>
      </c>
      <c r="M250" s="15">
        <f t="shared" si="3"/>
        <v>1410</v>
      </c>
      <c r="N250" s="14" t="s">
        <v>30</v>
      </c>
    </row>
    <row r="251" spans="1:14" ht="16.5" customHeight="1" x14ac:dyDescent="0.2">
      <c r="A251" s="7">
        <v>250</v>
      </c>
      <c r="B251" s="8" t="s">
        <v>37</v>
      </c>
      <c r="C251" s="9" t="s">
        <v>15</v>
      </c>
      <c r="D251" s="10">
        <v>39701</v>
      </c>
      <c r="E251" s="11">
        <v>6002492866</v>
      </c>
      <c r="F251" s="12">
        <v>30</v>
      </c>
      <c r="G251" s="4" t="s">
        <v>57</v>
      </c>
      <c r="H251" s="13">
        <v>454</v>
      </c>
      <c r="I251" s="14" t="s">
        <v>38</v>
      </c>
      <c r="J251" s="14" t="s">
        <v>18</v>
      </c>
      <c r="K251" s="14">
        <v>55</v>
      </c>
      <c r="L251" s="15">
        <v>15</v>
      </c>
      <c r="M251" s="15">
        <f t="shared" si="3"/>
        <v>825</v>
      </c>
      <c r="N251" s="14" t="s">
        <v>25</v>
      </c>
    </row>
    <row r="252" spans="1:14" ht="16.5" customHeight="1" x14ac:dyDescent="0.2">
      <c r="A252" s="7">
        <v>251</v>
      </c>
      <c r="B252" s="8" t="s">
        <v>37</v>
      </c>
      <c r="C252" s="9" t="s">
        <v>15</v>
      </c>
      <c r="D252" s="10">
        <v>39710</v>
      </c>
      <c r="E252" s="11">
        <v>5459986097</v>
      </c>
      <c r="F252" s="12">
        <v>30</v>
      </c>
      <c r="G252" s="4" t="s">
        <v>57</v>
      </c>
      <c r="H252" s="13">
        <v>240</v>
      </c>
      <c r="I252" s="14" t="s">
        <v>17</v>
      </c>
      <c r="J252" s="14" t="s">
        <v>18</v>
      </c>
      <c r="K252" s="14">
        <v>68</v>
      </c>
      <c r="L252" s="15">
        <v>45</v>
      </c>
      <c r="M252" s="15">
        <f t="shared" si="3"/>
        <v>3060</v>
      </c>
      <c r="N252" s="14" t="s">
        <v>30</v>
      </c>
    </row>
    <row r="253" spans="1:14" ht="16.5" customHeight="1" x14ac:dyDescent="0.2">
      <c r="A253" s="7">
        <v>252</v>
      </c>
      <c r="B253" s="8" t="s">
        <v>37</v>
      </c>
      <c r="C253" s="9" t="s">
        <v>15</v>
      </c>
      <c r="D253" s="10">
        <v>39737</v>
      </c>
      <c r="E253" s="11">
        <v>6376647869</v>
      </c>
      <c r="F253" s="12">
        <v>30</v>
      </c>
      <c r="G253" s="4" t="s">
        <v>57</v>
      </c>
      <c r="H253" s="13">
        <v>521</v>
      </c>
      <c r="I253" s="14" t="s">
        <v>22</v>
      </c>
      <c r="J253" s="14" t="s">
        <v>23</v>
      </c>
      <c r="K253" s="14">
        <v>42</v>
      </c>
      <c r="L253" s="15">
        <v>30</v>
      </c>
      <c r="M253" s="15">
        <f t="shared" si="3"/>
        <v>1260</v>
      </c>
      <c r="N253" s="14" t="s">
        <v>30</v>
      </c>
    </row>
    <row r="254" spans="1:14" ht="16.5" customHeight="1" x14ac:dyDescent="0.2">
      <c r="A254" s="7">
        <v>253</v>
      </c>
      <c r="B254" s="8" t="s">
        <v>43</v>
      </c>
      <c r="C254" s="9" t="s">
        <v>42</v>
      </c>
      <c r="D254" s="10">
        <v>35165</v>
      </c>
      <c r="E254" s="11">
        <v>598769341</v>
      </c>
      <c r="F254" s="12">
        <v>30</v>
      </c>
      <c r="G254" s="4" t="s">
        <v>57</v>
      </c>
      <c r="H254" s="13">
        <v>793</v>
      </c>
      <c r="I254" s="14" t="s">
        <v>17</v>
      </c>
      <c r="J254" s="14" t="s">
        <v>18</v>
      </c>
      <c r="K254" s="14">
        <v>31</v>
      </c>
      <c r="L254" s="15">
        <v>35</v>
      </c>
      <c r="M254" s="15">
        <f t="shared" si="3"/>
        <v>1085</v>
      </c>
      <c r="N254" s="16" t="s">
        <v>19</v>
      </c>
    </row>
    <row r="255" spans="1:14" ht="16.5" customHeight="1" x14ac:dyDescent="0.2">
      <c r="A255" s="7">
        <v>254</v>
      </c>
      <c r="B255" s="8" t="s">
        <v>43</v>
      </c>
      <c r="C255" s="9" t="s">
        <v>42</v>
      </c>
      <c r="D255" s="10">
        <v>35237</v>
      </c>
      <c r="E255" s="11">
        <v>6415166145</v>
      </c>
      <c r="F255" s="12">
        <v>30</v>
      </c>
      <c r="G255" s="4" t="s">
        <v>57</v>
      </c>
      <c r="H255" s="13">
        <v>568</v>
      </c>
      <c r="I255" s="14" t="s">
        <v>28</v>
      </c>
      <c r="J255" s="14" t="s">
        <v>29</v>
      </c>
      <c r="K255" s="14">
        <v>76</v>
      </c>
      <c r="L255" s="15">
        <v>1</v>
      </c>
      <c r="M255" s="15">
        <f t="shared" si="3"/>
        <v>76</v>
      </c>
      <c r="N255" s="16" t="s">
        <v>19</v>
      </c>
    </row>
    <row r="256" spans="1:14" ht="16.5" customHeight="1" x14ac:dyDescent="0.2">
      <c r="A256" s="7">
        <v>255</v>
      </c>
      <c r="B256" s="8" t="s">
        <v>43</v>
      </c>
      <c r="C256" s="9" t="s">
        <v>42</v>
      </c>
      <c r="D256" s="10">
        <v>35264</v>
      </c>
      <c r="E256" s="11">
        <v>8120732751</v>
      </c>
      <c r="F256" s="12">
        <v>30</v>
      </c>
      <c r="G256" s="4" t="s">
        <v>57</v>
      </c>
      <c r="H256" s="13">
        <v>534</v>
      </c>
      <c r="I256" s="14" t="s">
        <v>17</v>
      </c>
      <c r="J256" s="14" t="s">
        <v>18</v>
      </c>
      <c r="K256" s="14">
        <v>40</v>
      </c>
      <c r="L256" s="15">
        <v>25</v>
      </c>
      <c r="M256" s="15">
        <f t="shared" si="3"/>
        <v>1000</v>
      </c>
      <c r="N256" s="14" t="s">
        <v>30</v>
      </c>
    </row>
    <row r="257" spans="1:14" ht="16.5" customHeight="1" x14ac:dyDescent="0.2">
      <c r="A257" s="7">
        <v>256</v>
      </c>
      <c r="B257" s="8" t="s">
        <v>43</v>
      </c>
      <c r="C257" s="9" t="s">
        <v>42</v>
      </c>
      <c r="D257" s="10">
        <v>36092</v>
      </c>
      <c r="E257" s="11">
        <v>598769341</v>
      </c>
      <c r="F257" s="12">
        <v>30</v>
      </c>
      <c r="G257" s="4" t="s">
        <v>57</v>
      </c>
      <c r="H257" s="13">
        <v>793</v>
      </c>
      <c r="I257" s="14" t="s">
        <v>17</v>
      </c>
      <c r="J257" s="14" t="s">
        <v>18</v>
      </c>
      <c r="K257" s="14">
        <v>97</v>
      </c>
      <c r="L257" s="15">
        <v>35</v>
      </c>
      <c r="M257" s="15">
        <f t="shared" si="3"/>
        <v>3395</v>
      </c>
      <c r="N257" s="16" t="s">
        <v>19</v>
      </c>
    </row>
    <row r="258" spans="1:14" ht="16.5" customHeight="1" x14ac:dyDescent="0.2">
      <c r="A258" s="7">
        <v>257</v>
      </c>
      <c r="B258" s="8" t="s">
        <v>43</v>
      </c>
      <c r="C258" s="9" t="s">
        <v>42</v>
      </c>
      <c r="D258" s="10">
        <v>36164</v>
      </c>
      <c r="E258" s="11">
        <v>6415166145</v>
      </c>
      <c r="F258" s="12">
        <v>30</v>
      </c>
      <c r="G258" s="4" t="s">
        <v>57</v>
      </c>
      <c r="H258" s="13">
        <v>568</v>
      </c>
      <c r="I258" s="14" t="s">
        <v>28</v>
      </c>
      <c r="J258" s="14" t="s">
        <v>29</v>
      </c>
      <c r="K258" s="14">
        <v>23</v>
      </c>
      <c r="L258" s="15">
        <v>1</v>
      </c>
      <c r="M258" s="15">
        <f t="shared" ref="M258:M321" si="4">L258*K258</f>
        <v>23</v>
      </c>
      <c r="N258" s="16" t="s">
        <v>19</v>
      </c>
    </row>
    <row r="259" spans="1:14" ht="16.5" customHeight="1" x14ac:dyDescent="0.2">
      <c r="A259" s="7">
        <v>258</v>
      </c>
      <c r="B259" s="8" t="s">
        <v>43</v>
      </c>
      <c r="C259" s="9" t="s">
        <v>42</v>
      </c>
      <c r="D259" s="10">
        <v>36191</v>
      </c>
      <c r="E259" s="11">
        <v>8120732751</v>
      </c>
      <c r="F259" s="12">
        <v>30</v>
      </c>
      <c r="G259" s="4" t="s">
        <v>57</v>
      </c>
      <c r="H259" s="13">
        <v>534</v>
      </c>
      <c r="I259" s="14" t="s">
        <v>17</v>
      </c>
      <c r="J259" s="14" t="s">
        <v>18</v>
      </c>
      <c r="K259" s="14">
        <v>61</v>
      </c>
      <c r="L259" s="15">
        <v>25</v>
      </c>
      <c r="M259" s="15">
        <f t="shared" si="4"/>
        <v>1525</v>
      </c>
      <c r="N259" s="14" t="s">
        <v>30</v>
      </c>
    </row>
    <row r="260" spans="1:14" ht="16.5" customHeight="1" x14ac:dyDescent="0.2">
      <c r="A260" s="7">
        <v>259</v>
      </c>
      <c r="B260" s="8" t="s">
        <v>43</v>
      </c>
      <c r="C260" s="9" t="s">
        <v>42</v>
      </c>
      <c r="D260" s="10">
        <v>37019</v>
      </c>
      <c r="E260" s="11">
        <v>598769341</v>
      </c>
      <c r="F260" s="12">
        <v>30</v>
      </c>
      <c r="G260" s="4" t="s">
        <v>57</v>
      </c>
      <c r="H260" s="13">
        <v>793</v>
      </c>
      <c r="I260" s="14" t="s">
        <v>17</v>
      </c>
      <c r="J260" s="14" t="s">
        <v>18</v>
      </c>
      <c r="K260" s="14">
        <v>94</v>
      </c>
      <c r="L260" s="15">
        <v>35</v>
      </c>
      <c r="M260" s="15">
        <f t="shared" si="4"/>
        <v>3290</v>
      </c>
      <c r="N260" s="16" t="s">
        <v>19</v>
      </c>
    </row>
    <row r="261" spans="1:14" ht="16.5" customHeight="1" x14ac:dyDescent="0.2">
      <c r="A261" s="7">
        <v>260</v>
      </c>
      <c r="B261" s="8" t="s">
        <v>43</v>
      </c>
      <c r="C261" s="9" t="s">
        <v>42</v>
      </c>
      <c r="D261" s="10">
        <v>37091</v>
      </c>
      <c r="E261" s="11">
        <v>6415166145</v>
      </c>
      <c r="F261" s="12">
        <v>30</v>
      </c>
      <c r="G261" s="4" t="s">
        <v>57</v>
      </c>
      <c r="H261" s="13">
        <v>568</v>
      </c>
      <c r="I261" s="14" t="s">
        <v>28</v>
      </c>
      <c r="J261" s="14" t="s">
        <v>29</v>
      </c>
      <c r="K261" s="14">
        <v>35</v>
      </c>
      <c r="L261" s="15">
        <v>1</v>
      </c>
      <c r="M261" s="15">
        <f t="shared" si="4"/>
        <v>35</v>
      </c>
      <c r="N261" s="16" t="s">
        <v>19</v>
      </c>
    </row>
    <row r="262" spans="1:14" ht="16.5" customHeight="1" x14ac:dyDescent="0.2">
      <c r="A262" s="7">
        <v>261</v>
      </c>
      <c r="B262" s="8" t="s">
        <v>43</v>
      </c>
      <c r="C262" s="9" t="s">
        <v>42</v>
      </c>
      <c r="D262" s="10">
        <v>37118</v>
      </c>
      <c r="E262" s="11">
        <v>8120732751</v>
      </c>
      <c r="F262" s="12">
        <v>30</v>
      </c>
      <c r="G262" s="4" t="s">
        <v>57</v>
      </c>
      <c r="H262" s="13">
        <v>534</v>
      </c>
      <c r="I262" s="14" t="s">
        <v>17</v>
      </c>
      <c r="J262" s="14" t="s">
        <v>18</v>
      </c>
      <c r="K262" s="14">
        <v>17</v>
      </c>
      <c r="L262" s="15">
        <v>25</v>
      </c>
      <c r="M262" s="15">
        <f t="shared" si="4"/>
        <v>425</v>
      </c>
      <c r="N262" s="14" t="s">
        <v>30</v>
      </c>
    </row>
    <row r="263" spans="1:14" ht="16.5" customHeight="1" x14ac:dyDescent="0.2">
      <c r="A263" s="7">
        <v>262</v>
      </c>
      <c r="B263" s="8" t="s">
        <v>43</v>
      </c>
      <c r="C263" s="9" t="s">
        <v>42</v>
      </c>
      <c r="D263" s="10">
        <v>37946</v>
      </c>
      <c r="E263" s="11">
        <v>598769341</v>
      </c>
      <c r="F263" s="12">
        <v>30</v>
      </c>
      <c r="G263" s="4" t="s">
        <v>57</v>
      </c>
      <c r="H263" s="13">
        <v>793</v>
      </c>
      <c r="I263" s="14" t="s">
        <v>17</v>
      </c>
      <c r="J263" s="14" t="s">
        <v>18</v>
      </c>
      <c r="K263" s="14">
        <v>40</v>
      </c>
      <c r="L263" s="15">
        <v>35</v>
      </c>
      <c r="M263" s="15">
        <f t="shared" si="4"/>
        <v>1400</v>
      </c>
      <c r="N263" s="16" t="s">
        <v>19</v>
      </c>
    </row>
    <row r="264" spans="1:14" ht="16.5" customHeight="1" x14ac:dyDescent="0.2">
      <c r="A264" s="7">
        <v>263</v>
      </c>
      <c r="B264" s="8" t="s">
        <v>43</v>
      </c>
      <c r="C264" s="9" t="s">
        <v>42</v>
      </c>
      <c r="D264" s="10">
        <v>38018</v>
      </c>
      <c r="E264" s="11">
        <v>6415166145</v>
      </c>
      <c r="F264" s="12">
        <v>30</v>
      </c>
      <c r="G264" s="4" t="s">
        <v>57</v>
      </c>
      <c r="H264" s="13">
        <v>568</v>
      </c>
      <c r="I264" s="14" t="s">
        <v>28</v>
      </c>
      <c r="J264" s="14" t="s">
        <v>29</v>
      </c>
      <c r="K264" s="14">
        <v>55</v>
      </c>
      <c r="L264" s="15">
        <v>1</v>
      </c>
      <c r="M264" s="15">
        <f t="shared" si="4"/>
        <v>55</v>
      </c>
      <c r="N264" s="16" t="s">
        <v>19</v>
      </c>
    </row>
    <row r="265" spans="1:14" ht="16.5" customHeight="1" x14ac:dyDescent="0.2">
      <c r="A265" s="7">
        <v>264</v>
      </c>
      <c r="B265" s="8" t="s">
        <v>43</v>
      </c>
      <c r="C265" s="9" t="s">
        <v>42</v>
      </c>
      <c r="D265" s="10">
        <v>38045</v>
      </c>
      <c r="E265" s="11">
        <v>8120732751</v>
      </c>
      <c r="F265" s="12">
        <v>30</v>
      </c>
      <c r="G265" s="4" t="s">
        <v>57</v>
      </c>
      <c r="H265" s="13">
        <v>534</v>
      </c>
      <c r="I265" s="14" t="s">
        <v>17</v>
      </c>
      <c r="J265" s="14" t="s">
        <v>18</v>
      </c>
      <c r="K265" s="14">
        <v>34</v>
      </c>
      <c r="L265" s="15">
        <v>25</v>
      </c>
      <c r="M265" s="15">
        <f t="shared" si="4"/>
        <v>850</v>
      </c>
      <c r="N265" s="14" t="s">
        <v>30</v>
      </c>
    </row>
    <row r="266" spans="1:14" ht="16.5" customHeight="1" x14ac:dyDescent="0.2">
      <c r="A266" s="7">
        <v>265</v>
      </c>
      <c r="B266" s="8" t="s">
        <v>43</v>
      </c>
      <c r="C266" s="9" t="s">
        <v>42</v>
      </c>
      <c r="D266" s="10">
        <v>38873</v>
      </c>
      <c r="E266" s="11">
        <v>598769341</v>
      </c>
      <c r="F266" s="12">
        <v>30</v>
      </c>
      <c r="G266" s="4" t="s">
        <v>57</v>
      </c>
      <c r="H266" s="13">
        <v>793</v>
      </c>
      <c r="I266" s="14" t="s">
        <v>17</v>
      </c>
      <c r="J266" s="14" t="s">
        <v>18</v>
      </c>
      <c r="K266" s="14">
        <v>79</v>
      </c>
      <c r="L266" s="15">
        <v>35</v>
      </c>
      <c r="M266" s="15">
        <f t="shared" si="4"/>
        <v>2765</v>
      </c>
      <c r="N266" s="16" t="s">
        <v>19</v>
      </c>
    </row>
    <row r="267" spans="1:14" ht="16.5" customHeight="1" x14ac:dyDescent="0.2">
      <c r="A267" s="7">
        <v>266</v>
      </c>
      <c r="B267" s="8" t="s">
        <v>43</v>
      </c>
      <c r="C267" s="9" t="s">
        <v>42</v>
      </c>
      <c r="D267" s="10">
        <v>38945</v>
      </c>
      <c r="E267" s="11">
        <v>6415166145</v>
      </c>
      <c r="F267" s="12">
        <v>30</v>
      </c>
      <c r="G267" s="4" t="s">
        <v>57</v>
      </c>
      <c r="H267" s="13">
        <v>568</v>
      </c>
      <c r="I267" s="14" t="s">
        <v>28</v>
      </c>
      <c r="J267" s="14" t="s">
        <v>29</v>
      </c>
      <c r="K267" s="14">
        <v>50</v>
      </c>
      <c r="L267" s="15">
        <v>1</v>
      </c>
      <c r="M267" s="15">
        <f t="shared" si="4"/>
        <v>50</v>
      </c>
      <c r="N267" s="16" t="s">
        <v>19</v>
      </c>
    </row>
    <row r="268" spans="1:14" ht="16.5" customHeight="1" x14ac:dyDescent="0.2">
      <c r="A268" s="7">
        <v>267</v>
      </c>
      <c r="B268" s="8" t="s">
        <v>43</v>
      </c>
      <c r="C268" s="9" t="s">
        <v>42</v>
      </c>
      <c r="D268" s="10">
        <v>38972</v>
      </c>
      <c r="E268" s="11">
        <v>8120732751</v>
      </c>
      <c r="F268" s="12">
        <v>30</v>
      </c>
      <c r="G268" s="4" t="s">
        <v>57</v>
      </c>
      <c r="H268" s="13">
        <v>534</v>
      </c>
      <c r="I268" s="14" t="s">
        <v>17</v>
      </c>
      <c r="J268" s="14" t="s">
        <v>18</v>
      </c>
      <c r="K268" s="14">
        <v>60</v>
      </c>
      <c r="L268" s="15">
        <v>25</v>
      </c>
      <c r="M268" s="15">
        <f t="shared" si="4"/>
        <v>1500</v>
      </c>
      <c r="N268" s="14" t="s">
        <v>30</v>
      </c>
    </row>
    <row r="269" spans="1:14" ht="16.5" customHeight="1" x14ac:dyDescent="0.2">
      <c r="A269" s="7">
        <v>268</v>
      </c>
      <c r="B269" s="8" t="s">
        <v>43</v>
      </c>
      <c r="C269" s="9" t="s">
        <v>42</v>
      </c>
      <c r="D269" s="10">
        <v>39800</v>
      </c>
      <c r="E269" s="11">
        <v>598769341</v>
      </c>
      <c r="F269" s="12">
        <v>30</v>
      </c>
      <c r="G269" s="4" t="s">
        <v>57</v>
      </c>
      <c r="H269" s="13">
        <v>793</v>
      </c>
      <c r="I269" s="14" t="s">
        <v>17</v>
      </c>
      <c r="J269" s="14" t="s">
        <v>18</v>
      </c>
      <c r="K269" s="14">
        <v>28</v>
      </c>
      <c r="L269" s="15">
        <v>35</v>
      </c>
      <c r="M269" s="15">
        <f t="shared" si="4"/>
        <v>980</v>
      </c>
      <c r="N269" s="16" t="s">
        <v>19</v>
      </c>
    </row>
    <row r="270" spans="1:14" ht="16.5" customHeight="1" x14ac:dyDescent="0.2">
      <c r="A270" s="7">
        <v>269</v>
      </c>
      <c r="B270" s="8" t="s">
        <v>43</v>
      </c>
      <c r="C270" s="9" t="s">
        <v>42</v>
      </c>
      <c r="D270" s="10">
        <v>39872</v>
      </c>
      <c r="E270" s="11">
        <v>6415166145</v>
      </c>
      <c r="F270" s="12">
        <v>30</v>
      </c>
      <c r="G270" s="4" t="s">
        <v>57</v>
      </c>
      <c r="H270" s="13">
        <v>568</v>
      </c>
      <c r="I270" s="14" t="s">
        <v>28</v>
      </c>
      <c r="J270" s="14" t="s">
        <v>29</v>
      </c>
      <c r="K270" s="14">
        <v>98</v>
      </c>
      <c r="L270" s="15">
        <v>1</v>
      </c>
      <c r="M270" s="15">
        <f t="shared" si="4"/>
        <v>98</v>
      </c>
      <c r="N270" s="16" t="s">
        <v>19</v>
      </c>
    </row>
    <row r="271" spans="1:14" ht="16.5" customHeight="1" x14ac:dyDescent="0.2">
      <c r="A271" s="7">
        <v>270</v>
      </c>
      <c r="B271" s="8" t="s">
        <v>43</v>
      </c>
      <c r="C271" s="9" t="s">
        <v>42</v>
      </c>
      <c r="D271" s="10">
        <v>39899</v>
      </c>
      <c r="E271" s="11">
        <v>8120732751</v>
      </c>
      <c r="F271" s="12">
        <v>15</v>
      </c>
      <c r="G271" s="4" t="s">
        <v>58</v>
      </c>
      <c r="H271" s="13">
        <v>534</v>
      </c>
      <c r="I271" s="14" t="s">
        <v>17</v>
      </c>
      <c r="J271" s="14" t="s">
        <v>18</v>
      </c>
      <c r="K271" s="14">
        <v>59</v>
      </c>
      <c r="L271" s="15">
        <v>25</v>
      </c>
      <c r="M271" s="15">
        <f t="shared" si="4"/>
        <v>1475</v>
      </c>
      <c r="N271" s="14" t="s">
        <v>30</v>
      </c>
    </row>
    <row r="272" spans="1:14" ht="16.5" customHeight="1" x14ac:dyDescent="0.2">
      <c r="A272" s="7">
        <v>271</v>
      </c>
      <c r="B272" s="8" t="s">
        <v>50</v>
      </c>
      <c r="C272" s="9" t="s">
        <v>42</v>
      </c>
      <c r="D272" s="10">
        <v>34976</v>
      </c>
      <c r="E272" s="11">
        <v>9342769423</v>
      </c>
      <c r="F272" s="12">
        <v>15</v>
      </c>
      <c r="G272" s="4" t="s">
        <v>58</v>
      </c>
      <c r="H272" s="13">
        <v>521</v>
      </c>
      <c r="I272" s="14" t="s">
        <v>22</v>
      </c>
      <c r="J272" s="14" t="s">
        <v>23</v>
      </c>
      <c r="K272" s="14">
        <v>74</v>
      </c>
      <c r="L272" s="15">
        <v>30</v>
      </c>
      <c r="M272" s="15">
        <f t="shared" si="4"/>
        <v>2220</v>
      </c>
      <c r="N272" s="14" t="s">
        <v>30</v>
      </c>
    </row>
    <row r="273" spans="1:14" ht="16.5" customHeight="1" x14ac:dyDescent="0.2">
      <c r="A273" s="7">
        <v>272</v>
      </c>
      <c r="B273" s="8" t="s">
        <v>50</v>
      </c>
      <c r="C273" s="9" t="s">
        <v>42</v>
      </c>
      <c r="D273" s="10">
        <v>35903</v>
      </c>
      <c r="E273" s="11">
        <v>9342769423</v>
      </c>
      <c r="F273" s="12">
        <v>15</v>
      </c>
      <c r="G273" s="4" t="s">
        <v>58</v>
      </c>
      <c r="H273" s="13">
        <v>521</v>
      </c>
      <c r="I273" s="14" t="s">
        <v>22</v>
      </c>
      <c r="J273" s="14" t="s">
        <v>23</v>
      </c>
      <c r="K273" s="14">
        <v>59</v>
      </c>
      <c r="L273" s="15">
        <v>30</v>
      </c>
      <c r="M273" s="15">
        <f t="shared" si="4"/>
        <v>1770</v>
      </c>
      <c r="N273" s="14" t="s">
        <v>30</v>
      </c>
    </row>
    <row r="274" spans="1:14" ht="16.5" customHeight="1" x14ac:dyDescent="0.2">
      <c r="A274" s="7">
        <v>273</v>
      </c>
      <c r="B274" s="8" t="s">
        <v>50</v>
      </c>
      <c r="C274" s="9" t="s">
        <v>42</v>
      </c>
      <c r="D274" s="10">
        <v>36830</v>
      </c>
      <c r="E274" s="11">
        <v>9342769423</v>
      </c>
      <c r="F274" s="12">
        <v>15</v>
      </c>
      <c r="G274" s="4" t="s">
        <v>58</v>
      </c>
      <c r="H274" s="13">
        <v>521</v>
      </c>
      <c r="I274" s="14" t="s">
        <v>22</v>
      </c>
      <c r="J274" s="14" t="s">
        <v>23</v>
      </c>
      <c r="K274" s="14">
        <v>53</v>
      </c>
      <c r="L274" s="15">
        <v>30</v>
      </c>
      <c r="M274" s="15">
        <f t="shared" si="4"/>
        <v>1590</v>
      </c>
      <c r="N274" s="14" t="s">
        <v>30</v>
      </c>
    </row>
    <row r="275" spans="1:14" ht="16.5" customHeight="1" x14ac:dyDescent="0.2">
      <c r="A275" s="7">
        <v>274</v>
      </c>
      <c r="B275" s="8" t="s">
        <v>50</v>
      </c>
      <c r="C275" s="9" t="s">
        <v>42</v>
      </c>
      <c r="D275" s="10">
        <v>37757</v>
      </c>
      <c r="E275" s="11">
        <v>9342769423</v>
      </c>
      <c r="F275" s="12">
        <v>15</v>
      </c>
      <c r="G275" s="4" t="s">
        <v>58</v>
      </c>
      <c r="H275" s="13">
        <v>521</v>
      </c>
      <c r="I275" s="14" t="s">
        <v>22</v>
      </c>
      <c r="J275" s="14" t="s">
        <v>23</v>
      </c>
      <c r="K275" s="14">
        <v>21</v>
      </c>
      <c r="L275" s="15">
        <v>30</v>
      </c>
      <c r="M275" s="15">
        <f t="shared" si="4"/>
        <v>630</v>
      </c>
      <c r="N275" s="14" t="s">
        <v>30</v>
      </c>
    </row>
    <row r="276" spans="1:14" ht="16.5" customHeight="1" x14ac:dyDescent="0.2">
      <c r="A276" s="7">
        <v>275</v>
      </c>
      <c r="B276" s="8" t="s">
        <v>50</v>
      </c>
      <c r="C276" s="9" t="s">
        <v>42</v>
      </c>
      <c r="D276" s="10">
        <v>38684</v>
      </c>
      <c r="E276" s="11">
        <v>9342769423</v>
      </c>
      <c r="F276" s="12">
        <v>15</v>
      </c>
      <c r="G276" s="4" t="s">
        <v>58</v>
      </c>
      <c r="H276" s="13">
        <v>521</v>
      </c>
      <c r="I276" s="14" t="s">
        <v>22</v>
      </c>
      <c r="J276" s="14" t="s">
        <v>23</v>
      </c>
      <c r="K276" s="14">
        <v>96</v>
      </c>
      <c r="L276" s="15">
        <v>30</v>
      </c>
      <c r="M276" s="15">
        <f t="shared" si="4"/>
        <v>2880</v>
      </c>
      <c r="N276" s="14" t="s">
        <v>30</v>
      </c>
    </row>
    <row r="277" spans="1:14" ht="16.5" customHeight="1" x14ac:dyDescent="0.2">
      <c r="A277" s="7">
        <v>276</v>
      </c>
      <c r="B277" s="8" t="s">
        <v>50</v>
      </c>
      <c r="C277" s="9" t="s">
        <v>42</v>
      </c>
      <c r="D277" s="10">
        <v>39611</v>
      </c>
      <c r="E277" s="11">
        <v>9342769423</v>
      </c>
      <c r="F277" s="12">
        <v>15</v>
      </c>
      <c r="G277" s="4" t="s">
        <v>58</v>
      </c>
      <c r="H277" s="13">
        <v>521</v>
      </c>
      <c r="I277" s="14" t="s">
        <v>22</v>
      </c>
      <c r="J277" s="14" t="s">
        <v>23</v>
      </c>
      <c r="K277" s="14">
        <v>71</v>
      </c>
      <c r="L277" s="15">
        <v>30</v>
      </c>
      <c r="M277" s="15">
        <f t="shared" si="4"/>
        <v>2130</v>
      </c>
      <c r="N277" s="14" t="s">
        <v>30</v>
      </c>
    </row>
    <row r="278" spans="1:14" ht="16.5" customHeight="1" x14ac:dyDescent="0.2">
      <c r="A278" s="7">
        <v>277</v>
      </c>
      <c r="B278" s="8" t="s">
        <v>48</v>
      </c>
      <c r="C278" s="9" t="s">
        <v>42</v>
      </c>
      <c r="D278" s="10">
        <v>35489</v>
      </c>
      <c r="E278" s="11">
        <v>7945701336</v>
      </c>
      <c r="F278" s="12">
        <v>15</v>
      </c>
      <c r="G278" s="4" t="s">
        <v>58</v>
      </c>
      <c r="H278" s="13">
        <v>521</v>
      </c>
      <c r="I278" s="14" t="s">
        <v>22</v>
      </c>
      <c r="J278" s="14" t="s">
        <v>23</v>
      </c>
      <c r="K278" s="14">
        <v>46</v>
      </c>
      <c r="L278" s="15">
        <v>30</v>
      </c>
      <c r="M278" s="15">
        <f t="shared" si="4"/>
        <v>1380</v>
      </c>
      <c r="N278" s="16" t="s">
        <v>19</v>
      </c>
    </row>
    <row r="279" spans="1:14" ht="16.5" customHeight="1" x14ac:dyDescent="0.2">
      <c r="A279" s="7">
        <v>278</v>
      </c>
      <c r="B279" s="8" t="s">
        <v>48</v>
      </c>
      <c r="C279" s="9" t="s">
        <v>42</v>
      </c>
      <c r="D279" s="10">
        <v>36416</v>
      </c>
      <c r="E279" s="11">
        <v>7945701336</v>
      </c>
      <c r="F279" s="12">
        <v>15</v>
      </c>
      <c r="G279" s="4" t="s">
        <v>58</v>
      </c>
      <c r="H279" s="13">
        <v>521</v>
      </c>
      <c r="I279" s="14" t="s">
        <v>22</v>
      </c>
      <c r="J279" s="14" t="s">
        <v>23</v>
      </c>
      <c r="K279" s="14">
        <v>29</v>
      </c>
      <c r="L279" s="15">
        <v>30</v>
      </c>
      <c r="M279" s="15">
        <f t="shared" si="4"/>
        <v>870</v>
      </c>
      <c r="N279" s="16" t="s">
        <v>19</v>
      </c>
    </row>
    <row r="280" spans="1:14" ht="16.5" customHeight="1" x14ac:dyDescent="0.2">
      <c r="A280" s="7">
        <v>279</v>
      </c>
      <c r="B280" s="8" t="s">
        <v>48</v>
      </c>
      <c r="C280" s="9" t="s">
        <v>42</v>
      </c>
      <c r="D280" s="10">
        <v>37343</v>
      </c>
      <c r="E280" s="11">
        <v>7945701336</v>
      </c>
      <c r="F280" s="12">
        <v>15</v>
      </c>
      <c r="G280" s="4" t="s">
        <v>58</v>
      </c>
      <c r="H280" s="13">
        <v>521</v>
      </c>
      <c r="I280" s="14" t="s">
        <v>22</v>
      </c>
      <c r="J280" s="14" t="s">
        <v>23</v>
      </c>
      <c r="K280" s="14">
        <v>79</v>
      </c>
      <c r="L280" s="15">
        <v>30</v>
      </c>
      <c r="M280" s="15">
        <f t="shared" si="4"/>
        <v>2370</v>
      </c>
      <c r="N280" s="16" t="s">
        <v>19</v>
      </c>
    </row>
    <row r="281" spans="1:14" ht="16.5" customHeight="1" x14ac:dyDescent="0.2">
      <c r="A281" s="7">
        <v>280</v>
      </c>
      <c r="B281" s="8" t="s">
        <v>48</v>
      </c>
      <c r="C281" s="9" t="s">
        <v>42</v>
      </c>
      <c r="D281" s="10">
        <v>38270</v>
      </c>
      <c r="E281" s="11">
        <v>7945701336</v>
      </c>
      <c r="F281" s="12">
        <v>45</v>
      </c>
      <c r="G281" s="4" t="s">
        <v>59</v>
      </c>
      <c r="H281" s="13">
        <v>521</v>
      </c>
      <c r="I281" s="14" t="s">
        <v>22</v>
      </c>
      <c r="J281" s="14" t="s">
        <v>23</v>
      </c>
      <c r="K281" s="14">
        <v>89</v>
      </c>
      <c r="L281" s="15">
        <v>30</v>
      </c>
      <c r="M281" s="15">
        <f t="shared" si="4"/>
        <v>2670</v>
      </c>
      <c r="N281" s="16" t="s">
        <v>19</v>
      </c>
    </row>
    <row r="282" spans="1:14" ht="16.5" customHeight="1" x14ac:dyDescent="0.2">
      <c r="A282" s="7">
        <v>281</v>
      </c>
      <c r="B282" s="8" t="s">
        <v>48</v>
      </c>
      <c r="C282" s="9" t="s">
        <v>42</v>
      </c>
      <c r="D282" s="10">
        <v>39197</v>
      </c>
      <c r="E282" s="11">
        <v>7945701336</v>
      </c>
      <c r="F282" s="12">
        <v>45</v>
      </c>
      <c r="G282" s="4" t="s">
        <v>59</v>
      </c>
      <c r="H282" s="13">
        <v>521</v>
      </c>
      <c r="I282" s="14" t="s">
        <v>22</v>
      </c>
      <c r="J282" s="14" t="s">
        <v>23</v>
      </c>
      <c r="K282" s="14">
        <v>51</v>
      </c>
      <c r="L282" s="15">
        <v>30</v>
      </c>
      <c r="M282" s="15">
        <f t="shared" si="4"/>
        <v>1530</v>
      </c>
      <c r="N282" s="16" t="s">
        <v>19</v>
      </c>
    </row>
    <row r="283" spans="1:14" ht="16.5" customHeight="1" x14ac:dyDescent="0.2">
      <c r="A283" s="7">
        <v>282</v>
      </c>
      <c r="B283" s="8" t="s">
        <v>48</v>
      </c>
      <c r="C283" s="9" t="s">
        <v>42</v>
      </c>
      <c r="D283" s="10">
        <v>40124</v>
      </c>
      <c r="E283" s="11">
        <v>7945701336</v>
      </c>
      <c r="F283" s="12">
        <v>45</v>
      </c>
      <c r="G283" s="4" t="s">
        <v>59</v>
      </c>
      <c r="H283" s="13">
        <v>521</v>
      </c>
      <c r="I283" s="14" t="s">
        <v>22</v>
      </c>
      <c r="J283" s="14" t="s">
        <v>23</v>
      </c>
      <c r="K283" s="14">
        <v>91</v>
      </c>
      <c r="L283" s="15">
        <v>30</v>
      </c>
      <c r="M283" s="15">
        <f t="shared" si="4"/>
        <v>2730</v>
      </c>
      <c r="N283" s="16" t="s">
        <v>19</v>
      </c>
    </row>
    <row r="284" spans="1:14" ht="16.5" customHeight="1" x14ac:dyDescent="0.2">
      <c r="A284" s="7">
        <v>283</v>
      </c>
      <c r="B284" s="8" t="s">
        <v>52</v>
      </c>
      <c r="C284" s="9" t="s">
        <v>42</v>
      </c>
      <c r="D284" s="10">
        <v>34832</v>
      </c>
      <c r="E284" s="11">
        <v>8600395106</v>
      </c>
      <c r="F284" s="12">
        <v>45</v>
      </c>
      <c r="G284" s="4" t="s">
        <v>59</v>
      </c>
      <c r="H284" s="13">
        <v>909</v>
      </c>
      <c r="I284" s="14" t="s">
        <v>24</v>
      </c>
      <c r="J284" s="14" t="s">
        <v>18</v>
      </c>
      <c r="K284" s="14">
        <v>25</v>
      </c>
      <c r="L284" s="15">
        <v>50</v>
      </c>
      <c r="M284" s="15">
        <f t="shared" si="4"/>
        <v>1250</v>
      </c>
      <c r="N284" s="16" t="s">
        <v>19</v>
      </c>
    </row>
    <row r="285" spans="1:14" ht="16.5" customHeight="1" x14ac:dyDescent="0.2">
      <c r="A285" s="7">
        <v>284</v>
      </c>
      <c r="B285" s="8" t="s">
        <v>52</v>
      </c>
      <c r="C285" s="9" t="s">
        <v>42</v>
      </c>
      <c r="D285" s="10">
        <v>34859</v>
      </c>
      <c r="E285" s="11">
        <v>9434267034</v>
      </c>
      <c r="F285" s="12">
        <v>45</v>
      </c>
      <c r="G285" s="4" t="s">
        <v>59</v>
      </c>
      <c r="H285" s="13">
        <v>534</v>
      </c>
      <c r="I285" s="14" t="s">
        <v>17</v>
      </c>
      <c r="J285" s="14" t="s">
        <v>18</v>
      </c>
      <c r="K285" s="14">
        <v>40</v>
      </c>
      <c r="L285" s="15">
        <v>25</v>
      </c>
      <c r="M285" s="15">
        <f t="shared" si="4"/>
        <v>1000</v>
      </c>
      <c r="N285" s="14" t="s">
        <v>30</v>
      </c>
    </row>
    <row r="286" spans="1:14" ht="16.5" customHeight="1" x14ac:dyDescent="0.2">
      <c r="A286" s="7">
        <v>285</v>
      </c>
      <c r="B286" s="8" t="s">
        <v>52</v>
      </c>
      <c r="C286" s="9" t="s">
        <v>42</v>
      </c>
      <c r="D286" s="10">
        <v>34904</v>
      </c>
      <c r="E286" s="11">
        <v>8828315322</v>
      </c>
      <c r="F286" s="12">
        <v>45</v>
      </c>
      <c r="G286" s="4" t="s">
        <v>59</v>
      </c>
      <c r="H286" s="13">
        <v>454</v>
      </c>
      <c r="I286" s="14" t="s">
        <v>38</v>
      </c>
      <c r="J286" s="14" t="s">
        <v>18</v>
      </c>
      <c r="K286" s="14">
        <v>31</v>
      </c>
      <c r="L286" s="15">
        <v>15</v>
      </c>
      <c r="M286" s="15">
        <f t="shared" si="4"/>
        <v>465</v>
      </c>
      <c r="N286" s="14" t="s">
        <v>25</v>
      </c>
    </row>
    <row r="287" spans="1:14" ht="16.5" customHeight="1" x14ac:dyDescent="0.2">
      <c r="A287" s="7">
        <v>286</v>
      </c>
      <c r="B287" s="8" t="s">
        <v>52</v>
      </c>
      <c r="C287" s="9" t="s">
        <v>42</v>
      </c>
      <c r="D287" s="10">
        <v>34913</v>
      </c>
      <c r="E287" s="11">
        <v>5074446054</v>
      </c>
      <c r="F287" s="12">
        <v>45</v>
      </c>
      <c r="G287" s="4" t="s">
        <v>59</v>
      </c>
      <c r="H287" s="13">
        <v>521</v>
      </c>
      <c r="I287" s="14" t="s">
        <v>22</v>
      </c>
      <c r="J287" s="14" t="s">
        <v>23</v>
      </c>
      <c r="K287" s="14">
        <v>85</v>
      </c>
      <c r="L287" s="15">
        <v>30</v>
      </c>
      <c r="M287" s="15">
        <f t="shared" si="4"/>
        <v>2550</v>
      </c>
      <c r="N287" s="14" t="s">
        <v>30</v>
      </c>
    </row>
    <row r="288" spans="1:14" ht="16.5" customHeight="1" x14ac:dyDescent="0.2">
      <c r="A288" s="7">
        <v>287</v>
      </c>
      <c r="B288" s="8" t="s">
        <v>52</v>
      </c>
      <c r="C288" s="9" t="s">
        <v>42</v>
      </c>
      <c r="D288" s="10">
        <v>34922</v>
      </c>
      <c r="E288" s="11">
        <v>5510966038</v>
      </c>
      <c r="F288" s="12">
        <v>45</v>
      </c>
      <c r="G288" s="4" t="s">
        <v>59</v>
      </c>
      <c r="H288" s="13">
        <v>548</v>
      </c>
      <c r="I288" s="14" t="s">
        <v>24</v>
      </c>
      <c r="J288" s="14" t="s">
        <v>18</v>
      </c>
      <c r="K288" s="14">
        <v>15</v>
      </c>
      <c r="L288" s="15">
        <v>90</v>
      </c>
      <c r="M288" s="15">
        <f t="shared" si="4"/>
        <v>1350</v>
      </c>
      <c r="N288" s="14" t="s">
        <v>25</v>
      </c>
    </row>
    <row r="289" spans="1:14" ht="16.5" customHeight="1" x14ac:dyDescent="0.2">
      <c r="A289" s="7">
        <v>288</v>
      </c>
      <c r="B289" s="8" t="s">
        <v>52</v>
      </c>
      <c r="C289" s="9" t="s">
        <v>42</v>
      </c>
      <c r="D289" s="10">
        <v>35759</v>
      </c>
      <c r="E289" s="11">
        <v>8600395106</v>
      </c>
      <c r="F289" s="12">
        <v>45</v>
      </c>
      <c r="G289" s="4" t="s">
        <v>59</v>
      </c>
      <c r="H289" s="13">
        <v>909</v>
      </c>
      <c r="I289" s="14" t="s">
        <v>24</v>
      </c>
      <c r="J289" s="14" t="s">
        <v>18</v>
      </c>
      <c r="K289" s="14">
        <v>32</v>
      </c>
      <c r="L289" s="15">
        <v>50</v>
      </c>
      <c r="M289" s="15">
        <f t="shared" si="4"/>
        <v>1600</v>
      </c>
      <c r="N289" s="16" t="s">
        <v>19</v>
      </c>
    </row>
    <row r="290" spans="1:14" ht="16.5" customHeight="1" x14ac:dyDescent="0.2">
      <c r="A290" s="7">
        <v>289</v>
      </c>
      <c r="B290" s="8" t="s">
        <v>52</v>
      </c>
      <c r="C290" s="9" t="s">
        <v>42</v>
      </c>
      <c r="D290" s="10">
        <v>35786</v>
      </c>
      <c r="E290" s="11">
        <v>9434267034</v>
      </c>
      <c r="F290" s="12">
        <v>15</v>
      </c>
      <c r="G290" s="4" t="s">
        <v>58</v>
      </c>
      <c r="H290" s="13">
        <v>534</v>
      </c>
      <c r="I290" s="14" t="s">
        <v>17</v>
      </c>
      <c r="J290" s="14" t="s">
        <v>18</v>
      </c>
      <c r="K290" s="14">
        <v>71</v>
      </c>
      <c r="L290" s="15">
        <v>25</v>
      </c>
      <c r="M290" s="15">
        <f t="shared" si="4"/>
        <v>1775</v>
      </c>
      <c r="N290" s="14" t="s">
        <v>30</v>
      </c>
    </row>
    <row r="291" spans="1:14" ht="16.5" customHeight="1" x14ac:dyDescent="0.2">
      <c r="A291" s="7">
        <v>290</v>
      </c>
      <c r="B291" s="8" t="s">
        <v>52</v>
      </c>
      <c r="C291" s="9" t="s">
        <v>42</v>
      </c>
      <c r="D291" s="10">
        <v>35831</v>
      </c>
      <c r="E291" s="11">
        <v>8828315322</v>
      </c>
      <c r="F291" s="12">
        <v>15</v>
      </c>
      <c r="G291" s="4" t="s">
        <v>58</v>
      </c>
      <c r="H291" s="13">
        <v>454</v>
      </c>
      <c r="I291" s="14" t="s">
        <v>38</v>
      </c>
      <c r="J291" s="14" t="s">
        <v>18</v>
      </c>
      <c r="K291" s="14">
        <v>92</v>
      </c>
      <c r="L291" s="15">
        <v>15</v>
      </c>
      <c r="M291" s="15">
        <f t="shared" si="4"/>
        <v>1380</v>
      </c>
      <c r="N291" s="14" t="s">
        <v>25</v>
      </c>
    </row>
    <row r="292" spans="1:14" ht="16.5" customHeight="1" x14ac:dyDescent="0.2">
      <c r="A292" s="7">
        <v>291</v>
      </c>
      <c r="B292" s="8" t="s">
        <v>52</v>
      </c>
      <c r="C292" s="9" t="s">
        <v>42</v>
      </c>
      <c r="D292" s="10">
        <v>35840</v>
      </c>
      <c r="E292" s="11">
        <v>5074446054</v>
      </c>
      <c r="F292" s="12">
        <v>15</v>
      </c>
      <c r="G292" s="4" t="s">
        <v>58</v>
      </c>
      <c r="H292" s="13">
        <v>521</v>
      </c>
      <c r="I292" s="14" t="s">
        <v>22</v>
      </c>
      <c r="J292" s="14" t="s">
        <v>23</v>
      </c>
      <c r="K292" s="14">
        <v>59</v>
      </c>
      <c r="L292" s="15">
        <v>30</v>
      </c>
      <c r="M292" s="15">
        <f t="shared" si="4"/>
        <v>1770</v>
      </c>
      <c r="N292" s="14" t="s">
        <v>30</v>
      </c>
    </row>
    <row r="293" spans="1:14" ht="16.5" customHeight="1" x14ac:dyDescent="0.2">
      <c r="A293" s="7">
        <v>292</v>
      </c>
      <c r="B293" s="8" t="s">
        <v>52</v>
      </c>
      <c r="C293" s="9" t="s">
        <v>42</v>
      </c>
      <c r="D293" s="10">
        <v>35849</v>
      </c>
      <c r="E293" s="11">
        <v>5510966038</v>
      </c>
      <c r="F293" s="12">
        <v>15</v>
      </c>
      <c r="G293" s="4" t="s">
        <v>58</v>
      </c>
      <c r="H293" s="13">
        <v>548</v>
      </c>
      <c r="I293" s="14" t="s">
        <v>24</v>
      </c>
      <c r="J293" s="14" t="s">
        <v>18</v>
      </c>
      <c r="K293" s="14">
        <v>57</v>
      </c>
      <c r="L293" s="15">
        <v>90</v>
      </c>
      <c r="M293" s="15">
        <f t="shared" si="4"/>
        <v>5130</v>
      </c>
      <c r="N293" s="14" t="s">
        <v>25</v>
      </c>
    </row>
    <row r="294" spans="1:14" ht="16.5" customHeight="1" x14ac:dyDescent="0.2">
      <c r="A294" s="7">
        <v>293</v>
      </c>
      <c r="B294" s="8" t="s">
        <v>52</v>
      </c>
      <c r="C294" s="9" t="s">
        <v>42</v>
      </c>
      <c r="D294" s="10">
        <v>36686</v>
      </c>
      <c r="E294" s="11">
        <v>8600395106</v>
      </c>
      <c r="F294" s="12">
        <v>15</v>
      </c>
      <c r="G294" s="4" t="s">
        <v>58</v>
      </c>
      <c r="H294" s="13">
        <v>909</v>
      </c>
      <c r="I294" s="14" t="s">
        <v>24</v>
      </c>
      <c r="J294" s="14" t="s">
        <v>18</v>
      </c>
      <c r="K294" s="14">
        <v>25</v>
      </c>
      <c r="L294" s="15">
        <v>50</v>
      </c>
      <c r="M294" s="15">
        <f t="shared" si="4"/>
        <v>1250</v>
      </c>
      <c r="N294" s="16" t="s">
        <v>19</v>
      </c>
    </row>
    <row r="295" spans="1:14" ht="16.5" customHeight="1" x14ac:dyDescent="0.2">
      <c r="A295" s="7">
        <v>294</v>
      </c>
      <c r="B295" s="8" t="s">
        <v>52</v>
      </c>
      <c r="C295" s="9" t="s">
        <v>42</v>
      </c>
      <c r="D295" s="10">
        <v>36713</v>
      </c>
      <c r="E295" s="11">
        <v>9434267034</v>
      </c>
      <c r="F295" s="12">
        <v>15</v>
      </c>
      <c r="G295" s="4" t="s">
        <v>58</v>
      </c>
      <c r="H295" s="13">
        <v>534</v>
      </c>
      <c r="I295" s="14" t="s">
        <v>17</v>
      </c>
      <c r="J295" s="14" t="s">
        <v>18</v>
      </c>
      <c r="K295" s="14">
        <v>40</v>
      </c>
      <c r="L295" s="15">
        <v>25</v>
      </c>
      <c r="M295" s="15">
        <f t="shared" si="4"/>
        <v>1000</v>
      </c>
      <c r="N295" s="14" t="s">
        <v>30</v>
      </c>
    </row>
    <row r="296" spans="1:14" ht="16.5" customHeight="1" x14ac:dyDescent="0.2">
      <c r="A296" s="7">
        <v>295</v>
      </c>
      <c r="B296" s="8" t="s">
        <v>52</v>
      </c>
      <c r="C296" s="9" t="s">
        <v>42</v>
      </c>
      <c r="D296" s="10">
        <v>36758</v>
      </c>
      <c r="E296" s="11">
        <v>8828315322</v>
      </c>
      <c r="F296" s="12">
        <v>15</v>
      </c>
      <c r="G296" s="4" t="s">
        <v>58</v>
      </c>
      <c r="H296" s="13">
        <v>454</v>
      </c>
      <c r="I296" s="14" t="s">
        <v>38</v>
      </c>
      <c r="J296" s="14" t="s">
        <v>18</v>
      </c>
      <c r="K296" s="14">
        <v>78</v>
      </c>
      <c r="L296" s="15">
        <v>15</v>
      </c>
      <c r="M296" s="15">
        <f t="shared" si="4"/>
        <v>1170</v>
      </c>
      <c r="N296" s="14" t="s">
        <v>25</v>
      </c>
    </row>
    <row r="297" spans="1:14" ht="16.5" customHeight="1" x14ac:dyDescent="0.2">
      <c r="A297" s="7">
        <v>296</v>
      </c>
      <c r="B297" s="8" t="s">
        <v>52</v>
      </c>
      <c r="C297" s="9" t="s">
        <v>42</v>
      </c>
      <c r="D297" s="10">
        <v>36767</v>
      </c>
      <c r="E297" s="11">
        <v>5074446054</v>
      </c>
      <c r="F297" s="12">
        <v>15</v>
      </c>
      <c r="G297" s="4" t="s">
        <v>58</v>
      </c>
      <c r="H297" s="13">
        <v>521</v>
      </c>
      <c r="I297" s="14" t="s">
        <v>22</v>
      </c>
      <c r="J297" s="14" t="s">
        <v>23</v>
      </c>
      <c r="K297" s="14">
        <v>57</v>
      </c>
      <c r="L297" s="15">
        <v>30</v>
      </c>
      <c r="M297" s="15">
        <f t="shared" si="4"/>
        <v>1710</v>
      </c>
      <c r="N297" s="14" t="s">
        <v>30</v>
      </c>
    </row>
    <row r="298" spans="1:14" ht="16.5" customHeight="1" x14ac:dyDescent="0.2">
      <c r="A298" s="7">
        <v>297</v>
      </c>
      <c r="B298" s="8" t="s">
        <v>52</v>
      </c>
      <c r="C298" s="9" t="s">
        <v>42</v>
      </c>
      <c r="D298" s="10">
        <v>36776</v>
      </c>
      <c r="E298" s="11">
        <v>5510966038</v>
      </c>
      <c r="F298" s="12">
        <v>15</v>
      </c>
      <c r="G298" s="4" t="s">
        <v>58</v>
      </c>
      <c r="H298" s="13">
        <v>548</v>
      </c>
      <c r="I298" s="14" t="s">
        <v>24</v>
      </c>
      <c r="J298" s="14" t="s">
        <v>18</v>
      </c>
      <c r="K298" s="14">
        <v>59</v>
      </c>
      <c r="L298" s="15">
        <v>90</v>
      </c>
      <c r="M298" s="15">
        <f t="shared" si="4"/>
        <v>5310</v>
      </c>
      <c r="N298" s="14" t="s">
        <v>25</v>
      </c>
    </row>
    <row r="299" spans="1:14" ht="16.5" customHeight="1" x14ac:dyDescent="0.2">
      <c r="A299" s="7">
        <v>298</v>
      </c>
      <c r="B299" s="8" t="s">
        <v>52</v>
      </c>
      <c r="C299" s="9" t="s">
        <v>42</v>
      </c>
      <c r="D299" s="10">
        <v>37613</v>
      </c>
      <c r="E299" s="11">
        <v>8600395106</v>
      </c>
      <c r="F299" s="12">
        <v>15</v>
      </c>
      <c r="G299" s="4" t="s">
        <v>58</v>
      </c>
      <c r="H299" s="13">
        <v>909</v>
      </c>
      <c r="I299" s="14" t="s">
        <v>24</v>
      </c>
      <c r="J299" s="14" t="s">
        <v>18</v>
      </c>
      <c r="K299" s="14">
        <v>92</v>
      </c>
      <c r="L299" s="15">
        <v>50</v>
      </c>
      <c r="M299" s="15">
        <f t="shared" si="4"/>
        <v>4600</v>
      </c>
      <c r="N299" s="16" t="s">
        <v>19</v>
      </c>
    </row>
    <row r="300" spans="1:14" ht="16.5" customHeight="1" x14ac:dyDescent="0.2">
      <c r="A300" s="7">
        <v>299</v>
      </c>
      <c r="B300" s="8" t="s">
        <v>52</v>
      </c>
      <c r="C300" s="9" t="s">
        <v>42</v>
      </c>
      <c r="D300" s="10">
        <v>37640</v>
      </c>
      <c r="E300" s="11">
        <v>9434267034</v>
      </c>
      <c r="F300" s="12">
        <v>15</v>
      </c>
      <c r="G300" s="4" t="s">
        <v>58</v>
      </c>
      <c r="H300" s="13">
        <v>534</v>
      </c>
      <c r="I300" s="14" t="s">
        <v>17</v>
      </c>
      <c r="J300" s="14" t="s">
        <v>18</v>
      </c>
      <c r="K300" s="14">
        <v>23</v>
      </c>
      <c r="L300" s="15">
        <v>25</v>
      </c>
      <c r="M300" s="15">
        <f t="shared" si="4"/>
        <v>575</v>
      </c>
      <c r="N300" s="14" t="s">
        <v>30</v>
      </c>
    </row>
    <row r="301" spans="1:14" ht="16.5" customHeight="1" x14ac:dyDescent="0.2">
      <c r="A301" s="7">
        <v>300</v>
      </c>
      <c r="B301" s="8" t="s">
        <v>52</v>
      </c>
      <c r="C301" s="9" t="s">
        <v>42</v>
      </c>
      <c r="D301" s="10">
        <v>37685</v>
      </c>
      <c r="E301" s="11">
        <v>8828315322</v>
      </c>
      <c r="F301" s="12">
        <v>15</v>
      </c>
      <c r="G301" s="4" t="s">
        <v>58</v>
      </c>
      <c r="H301" s="13">
        <v>454</v>
      </c>
      <c r="I301" s="14" t="s">
        <v>38</v>
      </c>
      <c r="J301" s="14" t="s">
        <v>18</v>
      </c>
      <c r="K301" s="14">
        <v>16</v>
      </c>
      <c r="L301" s="15">
        <v>15</v>
      </c>
      <c r="M301" s="15">
        <f t="shared" si="4"/>
        <v>240</v>
      </c>
      <c r="N301" s="14" t="s">
        <v>25</v>
      </c>
    </row>
    <row r="302" spans="1:14" ht="16.5" customHeight="1" x14ac:dyDescent="0.2">
      <c r="A302" s="7">
        <v>301</v>
      </c>
      <c r="B302" s="8" t="s">
        <v>52</v>
      </c>
      <c r="C302" s="9" t="s">
        <v>42</v>
      </c>
      <c r="D302" s="10">
        <v>37694</v>
      </c>
      <c r="E302" s="11">
        <v>5074446054</v>
      </c>
      <c r="F302" s="12">
        <v>47</v>
      </c>
      <c r="G302" s="4" t="s">
        <v>60</v>
      </c>
      <c r="H302" s="13">
        <v>521</v>
      </c>
      <c r="I302" s="14" t="s">
        <v>22</v>
      </c>
      <c r="J302" s="14" t="s">
        <v>23</v>
      </c>
      <c r="K302" s="14">
        <v>43</v>
      </c>
      <c r="L302" s="15">
        <v>30</v>
      </c>
      <c r="M302" s="15">
        <f t="shared" si="4"/>
        <v>1290</v>
      </c>
      <c r="N302" s="14" t="s">
        <v>30</v>
      </c>
    </row>
    <row r="303" spans="1:14" ht="16.5" customHeight="1" x14ac:dyDescent="0.2">
      <c r="A303" s="7">
        <v>302</v>
      </c>
      <c r="B303" s="8" t="s">
        <v>52</v>
      </c>
      <c r="C303" s="9" t="s">
        <v>42</v>
      </c>
      <c r="D303" s="10">
        <v>37703</v>
      </c>
      <c r="E303" s="11">
        <v>5510966038</v>
      </c>
      <c r="F303" s="12">
        <v>47</v>
      </c>
      <c r="G303" s="4" t="s">
        <v>60</v>
      </c>
      <c r="H303" s="13">
        <v>548</v>
      </c>
      <c r="I303" s="14" t="s">
        <v>24</v>
      </c>
      <c r="J303" s="14" t="s">
        <v>18</v>
      </c>
      <c r="K303" s="14">
        <v>44</v>
      </c>
      <c r="L303" s="15">
        <v>90</v>
      </c>
      <c r="M303" s="15">
        <f t="shared" si="4"/>
        <v>3960</v>
      </c>
      <c r="N303" s="14" t="s">
        <v>25</v>
      </c>
    </row>
    <row r="304" spans="1:14" ht="16.5" customHeight="1" x14ac:dyDescent="0.2">
      <c r="A304" s="7">
        <v>303</v>
      </c>
      <c r="B304" s="8" t="s">
        <v>52</v>
      </c>
      <c r="C304" s="9" t="s">
        <v>42</v>
      </c>
      <c r="D304" s="10">
        <v>38540</v>
      </c>
      <c r="E304" s="11">
        <v>8600395106</v>
      </c>
      <c r="F304" s="12">
        <v>47</v>
      </c>
      <c r="G304" s="4" t="s">
        <v>60</v>
      </c>
      <c r="H304" s="13">
        <v>909</v>
      </c>
      <c r="I304" s="14" t="s">
        <v>24</v>
      </c>
      <c r="J304" s="14" t="s">
        <v>18</v>
      </c>
      <c r="K304" s="14">
        <v>65</v>
      </c>
      <c r="L304" s="15">
        <v>50</v>
      </c>
      <c r="M304" s="15">
        <f t="shared" si="4"/>
        <v>3250</v>
      </c>
      <c r="N304" s="16" t="s">
        <v>19</v>
      </c>
    </row>
    <row r="305" spans="1:14" ht="16.5" customHeight="1" x14ac:dyDescent="0.2">
      <c r="A305" s="7">
        <v>304</v>
      </c>
      <c r="B305" s="8" t="s">
        <v>52</v>
      </c>
      <c r="C305" s="9" t="s">
        <v>42</v>
      </c>
      <c r="D305" s="10">
        <v>38567</v>
      </c>
      <c r="E305" s="11">
        <v>9434267034</v>
      </c>
      <c r="F305" s="12">
        <v>47</v>
      </c>
      <c r="G305" s="4" t="s">
        <v>60</v>
      </c>
      <c r="H305" s="13">
        <v>534</v>
      </c>
      <c r="I305" s="14" t="s">
        <v>17</v>
      </c>
      <c r="J305" s="14" t="s">
        <v>18</v>
      </c>
      <c r="K305" s="14">
        <v>34</v>
      </c>
      <c r="L305" s="15">
        <v>25</v>
      </c>
      <c r="M305" s="15">
        <f t="shared" si="4"/>
        <v>850</v>
      </c>
      <c r="N305" s="14" t="s">
        <v>30</v>
      </c>
    </row>
    <row r="306" spans="1:14" ht="16.5" customHeight="1" x14ac:dyDescent="0.2">
      <c r="A306" s="7">
        <v>305</v>
      </c>
      <c r="B306" s="8" t="s">
        <v>52</v>
      </c>
      <c r="C306" s="9" t="s">
        <v>42</v>
      </c>
      <c r="D306" s="10">
        <v>38612</v>
      </c>
      <c r="E306" s="11">
        <v>8828315322</v>
      </c>
      <c r="F306" s="12">
        <v>47</v>
      </c>
      <c r="G306" s="4" t="s">
        <v>60</v>
      </c>
      <c r="H306" s="13">
        <v>454</v>
      </c>
      <c r="I306" s="14" t="s">
        <v>38</v>
      </c>
      <c r="J306" s="14" t="s">
        <v>18</v>
      </c>
      <c r="K306" s="14">
        <v>10</v>
      </c>
      <c r="L306" s="15">
        <v>15</v>
      </c>
      <c r="M306" s="15">
        <f t="shared" si="4"/>
        <v>150</v>
      </c>
      <c r="N306" s="14" t="s">
        <v>25</v>
      </c>
    </row>
    <row r="307" spans="1:14" ht="16.5" customHeight="1" x14ac:dyDescent="0.2">
      <c r="A307" s="7">
        <v>306</v>
      </c>
      <c r="B307" s="8" t="s">
        <v>52</v>
      </c>
      <c r="C307" s="9" t="s">
        <v>42</v>
      </c>
      <c r="D307" s="10">
        <v>38621</v>
      </c>
      <c r="E307" s="11">
        <v>5074446054</v>
      </c>
      <c r="F307" s="12">
        <v>47</v>
      </c>
      <c r="G307" s="4" t="s">
        <v>60</v>
      </c>
      <c r="H307" s="13">
        <v>521</v>
      </c>
      <c r="I307" s="14" t="s">
        <v>22</v>
      </c>
      <c r="J307" s="14" t="s">
        <v>23</v>
      </c>
      <c r="K307" s="14">
        <v>34</v>
      </c>
      <c r="L307" s="15">
        <v>30</v>
      </c>
      <c r="M307" s="15">
        <f t="shared" si="4"/>
        <v>1020</v>
      </c>
      <c r="N307" s="14" t="s">
        <v>30</v>
      </c>
    </row>
    <row r="308" spans="1:14" ht="16.5" customHeight="1" x14ac:dyDescent="0.2">
      <c r="A308" s="7">
        <v>307</v>
      </c>
      <c r="B308" s="8" t="s">
        <v>52</v>
      </c>
      <c r="C308" s="9" t="s">
        <v>42</v>
      </c>
      <c r="D308" s="10">
        <v>38630</v>
      </c>
      <c r="E308" s="11">
        <v>5510966038</v>
      </c>
      <c r="F308" s="12">
        <v>47</v>
      </c>
      <c r="G308" s="4" t="s">
        <v>60</v>
      </c>
      <c r="H308" s="13">
        <v>548</v>
      </c>
      <c r="I308" s="14" t="s">
        <v>24</v>
      </c>
      <c r="J308" s="14" t="s">
        <v>18</v>
      </c>
      <c r="K308" s="14">
        <v>22</v>
      </c>
      <c r="L308" s="15">
        <v>90</v>
      </c>
      <c r="M308" s="15">
        <f t="shared" si="4"/>
        <v>1980</v>
      </c>
      <c r="N308" s="14" t="s">
        <v>25</v>
      </c>
    </row>
    <row r="309" spans="1:14" ht="16.5" customHeight="1" x14ac:dyDescent="0.2">
      <c r="A309" s="7">
        <v>308</v>
      </c>
      <c r="B309" s="8" t="s">
        <v>52</v>
      </c>
      <c r="C309" s="9" t="s">
        <v>42</v>
      </c>
      <c r="D309" s="10">
        <v>39467</v>
      </c>
      <c r="E309" s="11">
        <v>8600395106</v>
      </c>
      <c r="F309" s="12">
        <v>47</v>
      </c>
      <c r="G309" s="4" t="s">
        <v>60</v>
      </c>
      <c r="H309" s="13">
        <v>909</v>
      </c>
      <c r="I309" s="14" t="s">
        <v>24</v>
      </c>
      <c r="J309" s="14" t="s">
        <v>18</v>
      </c>
      <c r="K309" s="14">
        <v>57</v>
      </c>
      <c r="L309" s="15">
        <v>50</v>
      </c>
      <c r="M309" s="15">
        <f t="shared" si="4"/>
        <v>2850</v>
      </c>
      <c r="N309" s="16" t="s">
        <v>19</v>
      </c>
    </row>
    <row r="310" spans="1:14" ht="16.5" customHeight="1" x14ac:dyDescent="0.2">
      <c r="A310" s="7">
        <v>309</v>
      </c>
      <c r="B310" s="8" t="s">
        <v>52</v>
      </c>
      <c r="C310" s="9" t="s">
        <v>42</v>
      </c>
      <c r="D310" s="10">
        <v>39494</v>
      </c>
      <c r="E310" s="11">
        <v>9434267034</v>
      </c>
      <c r="F310" s="12">
        <v>15</v>
      </c>
      <c r="G310" s="4" t="s">
        <v>58</v>
      </c>
      <c r="H310" s="13">
        <v>534</v>
      </c>
      <c r="I310" s="14" t="s">
        <v>17</v>
      </c>
      <c r="J310" s="14" t="s">
        <v>18</v>
      </c>
      <c r="K310" s="14">
        <v>43</v>
      </c>
      <c r="L310" s="15">
        <v>25</v>
      </c>
      <c r="M310" s="15">
        <f t="shared" si="4"/>
        <v>1075</v>
      </c>
      <c r="N310" s="14" t="s">
        <v>30</v>
      </c>
    </row>
    <row r="311" spans="1:14" ht="16.5" customHeight="1" x14ac:dyDescent="0.2">
      <c r="A311" s="7">
        <v>310</v>
      </c>
      <c r="B311" s="8" t="s">
        <v>52</v>
      </c>
      <c r="C311" s="9" t="s">
        <v>42</v>
      </c>
      <c r="D311" s="10">
        <v>39539</v>
      </c>
      <c r="E311" s="11">
        <v>8828315322</v>
      </c>
      <c r="F311" s="12">
        <v>15</v>
      </c>
      <c r="G311" s="4" t="s">
        <v>58</v>
      </c>
      <c r="H311" s="13">
        <v>454</v>
      </c>
      <c r="I311" s="14" t="s">
        <v>38</v>
      </c>
      <c r="J311" s="14" t="s">
        <v>18</v>
      </c>
      <c r="K311" s="14">
        <v>23</v>
      </c>
      <c r="L311" s="15">
        <v>15</v>
      </c>
      <c r="M311" s="15">
        <f t="shared" si="4"/>
        <v>345</v>
      </c>
      <c r="N311" s="14" t="s">
        <v>25</v>
      </c>
    </row>
    <row r="312" spans="1:14" ht="16.5" customHeight="1" x14ac:dyDescent="0.2">
      <c r="A312" s="7">
        <v>311</v>
      </c>
      <c r="B312" s="8" t="s">
        <v>52</v>
      </c>
      <c r="C312" s="9" t="s">
        <v>42</v>
      </c>
      <c r="D312" s="10">
        <v>39548</v>
      </c>
      <c r="E312" s="11">
        <v>5074446054</v>
      </c>
      <c r="F312" s="12">
        <v>15</v>
      </c>
      <c r="G312" s="4" t="s">
        <v>58</v>
      </c>
      <c r="H312" s="13">
        <v>521</v>
      </c>
      <c r="I312" s="14" t="s">
        <v>22</v>
      </c>
      <c r="J312" s="14" t="s">
        <v>23</v>
      </c>
      <c r="K312" s="14">
        <v>41</v>
      </c>
      <c r="L312" s="15">
        <v>30</v>
      </c>
      <c r="M312" s="15">
        <f t="shared" si="4"/>
        <v>1230</v>
      </c>
      <c r="N312" s="14" t="s">
        <v>30</v>
      </c>
    </row>
    <row r="313" spans="1:14" ht="16.5" customHeight="1" x14ac:dyDescent="0.2">
      <c r="A313" s="7">
        <v>312</v>
      </c>
      <c r="B313" s="8" t="s">
        <v>52</v>
      </c>
      <c r="C313" s="9" t="s">
        <v>42</v>
      </c>
      <c r="D313" s="10">
        <v>39557</v>
      </c>
      <c r="E313" s="11">
        <v>5510966038</v>
      </c>
      <c r="F313" s="12">
        <v>15</v>
      </c>
      <c r="G313" s="4" t="s">
        <v>58</v>
      </c>
      <c r="H313" s="13">
        <v>548</v>
      </c>
      <c r="I313" s="14" t="s">
        <v>24</v>
      </c>
      <c r="J313" s="14" t="s">
        <v>18</v>
      </c>
      <c r="K313" s="14">
        <v>93</v>
      </c>
      <c r="L313" s="15">
        <v>90</v>
      </c>
      <c r="M313" s="15">
        <f t="shared" si="4"/>
        <v>8370</v>
      </c>
      <c r="N313" s="14" t="s">
        <v>25</v>
      </c>
    </row>
    <row r="314" spans="1:14" ht="16.5" customHeight="1" x14ac:dyDescent="0.2">
      <c r="A314" s="7">
        <v>313</v>
      </c>
      <c r="B314" s="8" t="s">
        <v>41</v>
      </c>
      <c r="C314" s="9" t="s">
        <v>42</v>
      </c>
      <c r="D314" s="10">
        <v>35570</v>
      </c>
      <c r="E314" s="11">
        <v>601099509</v>
      </c>
      <c r="F314" s="12">
        <v>22</v>
      </c>
      <c r="G314" s="4" t="s">
        <v>61</v>
      </c>
      <c r="H314" s="13">
        <v>521</v>
      </c>
      <c r="I314" s="14" t="s">
        <v>22</v>
      </c>
      <c r="J314" s="14" t="s">
        <v>23</v>
      </c>
      <c r="K314" s="14">
        <v>58</v>
      </c>
      <c r="L314" s="15">
        <v>30</v>
      </c>
      <c r="M314" s="15">
        <f t="shared" si="4"/>
        <v>1740</v>
      </c>
      <c r="N314" s="16" t="s">
        <v>19</v>
      </c>
    </row>
    <row r="315" spans="1:14" ht="16.5" customHeight="1" x14ac:dyDescent="0.2">
      <c r="A315" s="7">
        <v>314</v>
      </c>
      <c r="B315" s="8" t="s">
        <v>41</v>
      </c>
      <c r="C315" s="9" t="s">
        <v>42</v>
      </c>
      <c r="D315" s="10">
        <v>36497</v>
      </c>
      <c r="E315" s="11">
        <v>601099509</v>
      </c>
      <c r="F315" s="12">
        <v>22</v>
      </c>
      <c r="G315" s="4" t="s">
        <v>61</v>
      </c>
      <c r="H315" s="13">
        <v>521</v>
      </c>
      <c r="I315" s="14" t="s">
        <v>22</v>
      </c>
      <c r="J315" s="14" t="s">
        <v>23</v>
      </c>
      <c r="K315" s="14">
        <v>36</v>
      </c>
      <c r="L315" s="15">
        <v>30</v>
      </c>
      <c r="M315" s="15">
        <f t="shared" si="4"/>
        <v>1080</v>
      </c>
      <c r="N315" s="16" t="s">
        <v>19</v>
      </c>
    </row>
    <row r="316" spans="1:14" ht="16.5" customHeight="1" x14ac:dyDescent="0.2">
      <c r="A316" s="7">
        <v>315</v>
      </c>
      <c r="B316" s="8" t="s">
        <v>41</v>
      </c>
      <c r="C316" s="9" t="s">
        <v>42</v>
      </c>
      <c r="D316" s="10">
        <v>37424</v>
      </c>
      <c r="E316" s="11">
        <v>601099509</v>
      </c>
      <c r="F316" s="12">
        <v>22</v>
      </c>
      <c r="G316" s="4" t="s">
        <v>61</v>
      </c>
      <c r="H316" s="13">
        <v>521</v>
      </c>
      <c r="I316" s="14" t="s">
        <v>22</v>
      </c>
      <c r="J316" s="14" t="s">
        <v>23</v>
      </c>
      <c r="K316" s="14">
        <v>66</v>
      </c>
      <c r="L316" s="15">
        <v>30</v>
      </c>
      <c r="M316" s="15">
        <f t="shared" si="4"/>
        <v>1980</v>
      </c>
      <c r="N316" s="16" t="s">
        <v>19</v>
      </c>
    </row>
    <row r="317" spans="1:14" ht="16.5" customHeight="1" x14ac:dyDescent="0.2">
      <c r="A317" s="7">
        <v>316</v>
      </c>
      <c r="B317" s="8" t="s">
        <v>41</v>
      </c>
      <c r="C317" s="9" t="s">
        <v>42</v>
      </c>
      <c r="D317" s="10">
        <v>38351</v>
      </c>
      <c r="E317" s="11">
        <v>601099509</v>
      </c>
      <c r="F317" s="12">
        <v>22</v>
      </c>
      <c r="G317" s="4" t="s">
        <v>61</v>
      </c>
      <c r="H317" s="13">
        <v>521</v>
      </c>
      <c r="I317" s="14" t="s">
        <v>22</v>
      </c>
      <c r="J317" s="14" t="s">
        <v>23</v>
      </c>
      <c r="K317" s="14">
        <v>89</v>
      </c>
      <c r="L317" s="15">
        <v>30</v>
      </c>
      <c r="M317" s="15">
        <f t="shared" si="4"/>
        <v>2670</v>
      </c>
      <c r="N317" s="16" t="s">
        <v>19</v>
      </c>
    </row>
    <row r="318" spans="1:14" ht="16.5" customHeight="1" x14ac:dyDescent="0.2">
      <c r="A318" s="7">
        <v>317</v>
      </c>
      <c r="B318" s="8" t="s">
        <v>41</v>
      </c>
      <c r="C318" s="9" t="s">
        <v>42</v>
      </c>
      <c r="D318" s="10">
        <v>39278</v>
      </c>
      <c r="E318" s="11">
        <v>601099509</v>
      </c>
      <c r="F318" s="12">
        <v>22</v>
      </c>
      <c r="G318" s="4" t="s">
        <v>61</v>
      </c>
      <c r="H318" s="13">
        <v>521</v>
      </c>
      <c r="I318" s="14" t="s">
        <v>22</v>
      </c>
      <c r="J318" s="14" t="s">
        <v>23</v>
      </c>
      <c r="K318" s="14">
        <v>96</v>
      </c>
      <c r="L318" s="15">
        <v>30</v>
      </c>
      <c r="M318" s="15">
        <f t="shared" si="4"/>
        <v>2880</v>
      </c>
      <c r="N318" s="16" t="s">
        <v>19</v>
      </c>
    </row>
    <row r="319" spans="1:14" ht="16.5" customHeight="1" x14ac:dyDescent="0.2">
      <c r="A319" s="7">
        <v>318</v>
      </c>
      <c r="B319" s="8" t="s">
        <v>41</v>
      </c>
      <c r="C319" s="9" t="s">
        <v>42</v>
      </c>
      <c r="D319" s="10">
        <v>40205</v>
      </c>
      <c r="E319" s="11">
        <v>601099509</v>
      </c>
      <c r="F319" s="12">
        <v>22</v>
      </c>
      <c r="G319" s="4" t="s">
        <v>61</v>
      </c>
      <c r="H319" s="13">
        <v>521</v>
      </c>
      <c r="I319" s="14" t="s">
        <v>22</v>
      </c>
      <c r="J319" s="14" t="s">
        <v>23</v>
      </c>
      <c r="K319" s="14">
        <v>10</v>
      </c>
      <c r="L319" s="15">
        <v>30</v>
      </c>
      <c r="M319" s="15">
        <f t="shared" si="4"/>
        <v>300</v>
      </c>
      <c r="N319" s="16" t="s">
        <v>19</v>
      </c>
    </row>
    <row r="320" spans="1:14" ht="16.5" customHeight="1" x14ac:dyDescent="0.2">
      <c r="A320" s="7">
        <v>319</v>
      </c>
      <c r="B320" s="8" t="s">
        <v>43</v>
      </c>
      <c r="C320" s="9" t="s">
        <v>42</v>
      </c>
      <c r="D320" s="10">
        <v>35219</v>
      </c>
      <c r="E320" s="11">
        <v>8088850186</v>
      </c>
      <c r="F320" s="12">
        <v>22</v>
      </c>
      <c r="G320" s="4" t="s">
        <v>61</v>
      </c>
      <c r="H320" s="13">
        <v>454</v>
      </c>
      <c r="I320" s="14" t="s">
        <v>38</v>
      </c>
      <c r="J320" s="14" t="s">
        <v>18</v>
      </c>
      <c r="K320" s="14">
        <v>60</v>
      </c>
      <c r="L320" s="15">
        <v>15</v>
      </c>
      <c r="M320" s="15">
        <f t="shared" si="4"/>
        <v>900</v>
      </c>
      <c r="N320" s="14" t="s">
        <v>30</v>
      </c>
    </row>
    <row r="321" spans="1:14" ht="16.5" customHeight="1" x14ac:dyDescent="0.2">
      <c r="A321" s="7">
        <v>320</v>
      </c>
      <c r="B321" s="8" t="s">
        <v>43</v>
      </c>
      <c r="C321" s="9" t="s">
        <v>42</v>
      </c>
      <c r="D321" s="10">
        <v>35345</v>
      </c>
      <c r="E321" s="11">
        <v>5224952996</v>
      </c>
      <c r="F321" s="12">
        <v>22</v>
      </c>
      <c r="G321" s="4" t="s">
        <v>61</v>
      </c>
      <c r="H321" s="13">
        <v>454</v>
      </c>
      <c r="I321" s="14" t="s">
        <v>38</v>
      </c>
      <c r="J321" s="14" t="s">
        <v>18</v>
      </c>
      <c r="K321" s="14">
        <v>82</v>
      </c>
      <c r="L321" s="15">
        <v>15</v>
      </c>
      <c r="M321" s="15">
        <f t="shared" si="4"/>
        <v>1230</v>
      </c>
      <c r="N321" s="14" t="s">
        <v>30</v>
      </c>
    </row>
    <row r="322" spans="1:14" ht="16.5" customHeight="1" x14ac:dyDescent="0.2">
      <c r="A322" s="7">
        <v>321</v>
      </c>
      <c r="B322" s="8" t="s">
        <v>43</v>
      </c>
      <c r="C322" s="9" t="s">
        <v>42</v>
      </c>
      <c r="D322" s="10">
        <v>35354</v>
      </c>
      <c r="E322" s="11">
        <v>126577112</v>
      </c>
      <c r="F322" s="12">
        <v>22</v>
      </c>
      <c r="G322" s="4" t="s">
        <v>61</v>
      </c>
      <c r="H322" s="13">
        <v>704</v>
      </c>
      <c r="I322" s="14" t="s">
        <v>36</v>
      </c>
      <c r="J322" s="14" t="s">
        <v>18</v>
      </c>
      <c r="K322" s="14">
        <v>64</v>
      </c>
      <c r="L322" s="15">
        <v>60</v>
      </c>
      <c r="M322" s="15">
        <f t="shared" ref="M322:M385" si="5">L322*K322</f>
        <v>3840</v>
      </c>
      <c r="N322" s="16" t="s">
        <v>19</v>
      </c>
    </row>
    <row r="323" spans="1:14" ht="16.5" customHeight="1" x14ac:dyDescent="0.2">
      <c r="A323" s="7">
        <v>322</v>
      </c>
      <c r="B323" s="8" t="s">
        <v>43</v>
      </c>
      <c r="C323" s="9" t="s">
        <v>42</v>
      </c>
      <c r="D323" s="10">
        <v>36146</v>
      </c>
      <c r="E323" s="11">
        <v>8088850186</v>
      </c>
      <c r="F323" s="12">
        <v>22</v>
      </c>
      <c r="G323" s="4" t="s">
        <v>61</v>
      </c>
      <c r="H323" s="13">
        <v>454</v>
      </c>
      <c r="I323" s="14" t="s">
        <v>38</v>
      </c>
      <c r="J323" s="14" t="s">
        <v>18</v>
      </c>
      <c r="K323" s="14">
        <v>27</v>
      </c>
      <c r="L323" s="15">
        <v>15</v>
      </c>
      <c r="M323" s="15">
        <f t="shared" si="5"/>
        <v>405</v>
      </c>
      <c r="N323" s="14" t="s">
        <v>30</v>
      </c>
    </row>
    <row r="324" spans="1:14" ht="16.5" customHeight="1" x14ac:dyDescent="0.2">
      <c r="A324" s="7">
        <v>323</v>
      </c>
      <c r="B324" s="8" t="s">
        <v>43</v>
      </c>
      <c r="C324" s="9" t="s">
        <v>42</v>
      </c>
      <c r="D324" s="10">
        <v>36272</v>
      </c>
      <c r="E324" s="11">
        <v>5224952996</v>
      </c>
      <c r="F324" s="12">
        <v>22</v>
      </c>
      <c r="G324" s="4" t="s">
        <v>61</v>
      </c>
      <c r="H324" s="13">
        <v>454</v>
      </c>
      <c r="I324" s="14" t="s">
        <v>38</v>
      </c>
      <c r="J324" s="14" t="s">
        <v>18</v>
      </c>
      <c r="K324" s="14">
        <v>52</v>
      </c>
      <c r="L324" s="15">
        <v>15</v>
      </c>
      <c r="M324" s="15">
        <f t="shared" si="5"/>
        <v>780</v>
      </c>
      <c r="N324" s="14" t="s">
        <v>30</v>
      </c>
    </row>
    <row r="325" spans="1:14" ht="16.5" customHeight="1" x14ac:dyDescent="0.2">
      <c r="A325" s="7">
        <v>324</v>
      </c>
      <c r="B325" s="8" t="s">
        <v>43</v>
      </c>
      <c r="C325" s="9" t="s">
        <v>42</v>
      </c>
      <c r="D325" s="10">
        <v>36281</v>
      </c>
      <c r="E325" s="11">
        <v>126577112</v>
      </c>
      <c r="F325" s="12">
        <v>22</v>
      </c>
      <c r="G325" s="4" t="s">
        <v>61</v>
      </c>
      <c r="H325" s="13">
        <v>704</v>
      </c>
      <c r="I325" s="14" t="s">
        <v>36</v>
      </c>
      <c r="J325" s="14" t="s">
        <v>18</v>
      </c>
      <c r="K325" s="14">
        <v>84</v>
      </c>
      <c r="L325" s="15">
        <v>60</v>
      </c>
      <c r="M325" s="15">
        <f t="shared" si="5"/>
        <v>5040</v>
      </c>
      <c r="N325" s="16" t="s">
        <v>19</v>
      </c>
    </row>
    <row r="326" spans="1:14" ht="16.5" customHeight="1" x14ac:dyDescent="0.2">
      <c r="A326" s="7">
        <v>325</v>
      </c>
      <c r="B326" s="8" t="s">
        <v>43</v>
      </c>
      <c r="C326" s="9" t="s">
        <v>42</v>
      </c>
      <c r="D326" s="10">
        <v>37073</v>
      </c>
      <c r="E326" s="11">
        <v>8088850186</v>
      </c>
      <c r="F326" s="12">
        <v>22</v>
      </c>
      <c r="G326" s="4" t="s">
        <v>61</v>
      </c>
      <c r="H326" s="13">
        <v>454</v>
      </c>
      <c r="I326" s="14" t="s">
        <v>38</v>
      </c>
      <c r="J326" s="14" t="s">
        <v>18</v>
      </c>
      <c r="K326" s="14">
        <v>17</v>
      </c>
      <c r="L326" s="15">
        <v>15</v>
      </c>
      <c r="M326" s="15">
        <f t="shared" si="5"/>
        <v>255</v>
      </c>
      <c r="N326" s="14" t="s">
        <v>30</v>
      </c>
    </row>
    <row r="327" spans="1:14" ht="16.5" customHeight="1" x14ac:dyDescent="0.2">
      <c r="A327" s="7">
        <v>326</v>
      </c>
      <c r="B327" s="8" t="s">
        <v>43</v>
      </c>
      <c r="C327" s="9" t="s">
        <v>42</v>
      </c>
      <c r="D327" s="10">
        <v>37199</v>
      </c>
      <c r="E327" s="11">
        <v>5224952996</v>
      </c>
      <c r="F327" s="12">
        <v>49</v>
      </c>
      <c r="G327" s="4" t="s">
        <v>62</v>
      </c>
      <c r="H327" s="13">
        <v>454</v>
      </c>
      <c r="I327" s="14" t="s">
        <v>38</v>
      </c>
      <c r="J327" s="14" t="s">
        <v>18</v>
      </c>
      <c r="K327" s="14">
        <v>28</v>
      </c>
      <c r="L327" s="15">
        <v>15</v>
      </c>
      <c r="M327" s="15">
        <f t="shared" si="5"/>
        <v>420</v>
      </c>
      <c r="N327" s="14" t="s">
        <v>30</v>
      </c>
    </row>
    <row r="328" spans="1:14" ht="16.5" customHeight="1" x14ac:dyDescent="0.2">
      <c r="A328" s="7">
        <v>327</v>
      </c>
      <c r="B328" s="8" t="s">
        <v>43</v>
      </c>
      <c r="C328" s="9" t="s">
        <v>42</v>
      </c>
      <c r="D328" s="10">
        <v>37208</v>
      </c>
      <c r="E328" s="11">
        <v>126577112</v>
      </c>
      <c r="F328" s="12">
        <v>49</v>
      </c>
      <c r="G328" s="4" t="s">
        <v>62</v>
      </c>
      <c r="H328" s="13">
        <v>704</v>
      </c>
      <c r="I328" s="14" t="s">
        <v>36</v>
      </c>
      <c r="J328" s="14" t="s">
        <v>18</v>
      </c>
      <c r="K328" s="14">
        <v>93</v>
      </c>
      <c r="L328" s="15">
        <v>60</v>
      </c>
      <c r="M328" s="15">
        <f t="shared" si="5"/>
        <v>5580</v>
      </c>
      <c r="N328" s="16" t="s">
        <v>19</v>
      </c>
    </row>
    <row r="329" spans="1:14" ht="16.5" customHeight="1" x14ac:dyDescent="0.2">
      <c r="A329" s="7">
        <v>328</v>
      </c>
      <c r="B329" s="8" t="s">
        <v>43</v>
      </c>
      <c r="C329" s="9" t="s">
        <v>42</v>
      </c>
      <c r="D329" s="10">
        <v>38000</v>
      </c>
      <c r="E329" s="11">
        <v>8088850186</v>
      </c>
      <c r="F329" s="12">
        <v>49</v>
      </c>
      <c r="G329" s="4" t="s">
        <v>62</v>
      </c>
      <c r="H329" s="13">
        <v>454</v>
      </c>
      <c r="I329" s="14" t="s">
        <v>38</v>
      </c>
      <c r="J329" s="14" t="s">
        <v>18</v>
      </c>
      <c r="K329" s="14">
        <v>94</v>
      </c>
      <c r="L329" s="15">
        <v>15</v>
      </c>
      <c r="M329" s="15">
        <f t="shared" si="5"/>
        <v>1410</v>
      </c>
      <c r="N329" s="14" t="s">
        <v>30</v>
      </c>
    </row>
    <row r="330" spans="1:14" ht="16.5" customHeight="1" x14ac:dyDescent="0.2">
      <c r="A330" s="7">
        <v>329</v>
      </c>
      <c r="B330" s="8" t="s">
        <v>43</v>
      </c>
      <c r="C330" s="9" t="s">
        <v>42</v>
      </c>
      <c r="D330" s="10">
        <v>38126</v>
      </c>
      <c r="E330" s="11">
        <v>5224952996</v>
      </c>
      <c r="F330" s="12">
        <v>49</v>
      </c>
      <c r="G330" s="4" t="s">
        <v>62</v>
      </c>
      <c r="H330" s="13">
        <v>454</v>
      </c>
      <c r="I330" s="14" t="s">
        <v>38</v>
      </c>
      <c r="J330" s="14" t="s">
        <v>18</v>
      </c>
      <c r="K330" s="14">
        <v>97</v>
      </c>
      <c r="L330" s="15">
        <v>15</v>
      </c>
      <c r="M330" s="15">
        <f t="shared" si="5"/>
        <v>1455</v>
      </c>
      <c r="N330" s="14" t="s">
        <v>30</v>
      </c>
    </row>
    <row r="331" spans="1:14" ht="16.5" customHeight="1" x14ac:dyDescent="0.2">
      <c r="A331" s="7">
        <v>330</v>
      </c>
      <c r="B331" s="8" t="s">
        <v>43</v>
      </c>
      <c r="C331" s="9" t="s">
        <v>42</v>
      </c>
      <c r="D331" s="10">
        <v>38135</v>
      </c>
      <c r="E331" s="11">
        <v>126577112</v>
      </c>
      <c r="F331" s="12">
        <v>49</v>
      </c>
      <c r="G331" s="4" t="s">
        <v>62</v>
      </c>
      <c r="H331" s="13">
        <v>704</v>
      </c>
      <c r="I331" s="14" t="s">
        <v>36</v>
      </c>
      <c r="J331" s="14" t="s">
        <v>18</v>
      </c>
      <c r="K331" s="14">
        <v>71</v>
      </c>
      <c r="L331" s="15">
        <v>60</v>
      </c>
      <c r="M331" s="15">
        <f t="shared" si="5"/>
        <v>4260</v>
      </c>
      <c r="N331" s="16" t="s">
        <v>19</v>
      </c>
    </row>
    <row r="332" spans="1:14" ht="16.5" customHeight="1" x14ac:dyDescent="0.2">
      <c r="A332" s="7">
        <v>331</v>
      </c>
      <c r="B332" s="8" t="s">
        <v>43</v>
      </c>
      <c r="C332" s="9" t="s">
        <v>42</v>
      </c>
      <c r="D332" s="10">
        <v>38927</v>
      </c>
      <c r="E332" s="11">
        <v>8088850186</v>
      </c>
      <c r="F332" s="12">
        <v>49</v>
      </c>
      <c r="G332" s="4" t="s">
        <v>62</v>
      </c>
      <c r="H332" s="13">
        <v>454</v>
      </c>
      <c r="I332" s="14" t="s">
        <v>38</v>
      </c>
      <c r="J332" s="14" t="s">
        <v>18</v>
      </c>
      <c r="K332" s="14">
        <v>48</v>
      </c>
      <c r="L332" s="15">
        <v>15</v>
      </c>
      <c r="M332" s="15">
        <f t="shared" si="5"/>
        <v>720</v>
      </c>
      <c r="N332" s="14" t="s">
        <v>30</v>
      </c>
    </row>
    <row r="333" spans="1:14" ht="16.5" customHeight="1" x14ac:dyDescent="0.2">
      <c r="A333" s="7">
        <v>332</v>
      </c>
      <c r="B333" s="8" t="s">
        <v>43</v>
      </c>
      <c r="C333" s="9" t="s">
        <v>42</v>
      </c>
      <c r="D333" s="10">
        <v>39053</v>
      </c>
      <c r="E333" s="11">
        <v>5224952996</v>
      </c>
      <c r="F333" s="12">
        <v>49</v>
      </c>
      <c r="G333" s="4" t="s">
        <v>62</v>
      </c>
      <c r="H333" s="13">
        <v>454</v>
      </c>
      <c r="I333" s="14" t="s">
        <v>38</v>
      </c>
      <c r="J333" s="14" t="s">
        <v>18</v>
      </c>
      <c r="K333" s="14">
        <v>96</v>
      </c>
      <c r="L333" s="15">
        <v>15</v>
      </c>
      <c r="M333" s="15">
        <f t="shared" si="5"/>
        <v>1440</v>
      </c>
      <c r="N333" s="14" t="s">
        <v>30</v>
      </c>
    </row>
    <row r="334" spans="1:14" ht="16.5" customHeight="1" x14ac:dyDescent="0.2">
      <c r="A334" s="7">
        <v>333</v>
      </c>
      <c r="B334" s="8" t="s">
        <v>43</v>
      </c>
      <c r="C334" s="9" t="s">
        <v>42</v>
      </c>
      <c r="D334" s="10">
        <v>39062</v>
      </c>
      <c r="E334" s="11">
        <v>126577112</v>
      </c>
      <c r="F334" s="12">
        <v>49</v>
      </c>
      <c r="G334" s="4" t="s">
        <v>62</v>
      </c>
      <c r="H334" s="13">
        <v>704</v>
      </c>
      <c r="I334" s="14" t="s">
        <v>36</v>
      </c>
      <c r="J334" s="14" t="s">
        <v>18</v>
      </c>
      <c r="K334" s="14">
        <v>80</v>
      </c>
      <c r="L334" s="15">
        <v>60</v>
      </c>
      <c r="M334" s="15">
        <f t="shared" si="5"/>
        <v>4800</v>
      </c>
      <c r="N334" s="16" t="s">
        <v>19</v>
      </c>
    </row>
    <row r="335" spans="1:14" ht="16.5" customHeight="1" x14ac:dyDescent="0.2">
      <c r="A335" s="7">
        <v>334</v>
      </c>
      <c r="B335" s="8" t="s">
        <v>43</v>
      </c>
      <c r="C335" s="9" t="s">
        <v>42</v>
      </c>
      <c r="D335" s="10">
        <v>39854</v>
      </c>
      <c r="E335" s="11">
        <v>8088850186</v>
      </c>
      <c r="F335" s="12">
        <v>22</v>
      </c>
      <c r="G335" s="4" t="s">
        <v>61</v>
      </c>
      <c r="H335" s="13">
        <v>454</v>
      </c>
      <c r="I335" s="14" t="s">
        <v>38</v>
      </c>
      <c r="J335" s="14" t="s">
        <v>18</v>
      </c>
      <c r="K335" s="14">
        <v>41</v>
      </c>
      <c r="L335" s="15">
        <v>15</v>
      </c>
      <c r="M335" s="15">
        <f t="shared" si="5"/>
        <v>615</v>
      </c>
      <c r="N335" s="14" t="s">
        <v>30</v>
      </c>
    </row>
    <row r="336" spans="1:14" ht="16.5" customHeight="1" x14ac:dyDescent="0.2">
      <c r="A336" s="7">
        <v>335</v>
      </c>
      <c r="B336" s="8" t="s">
        <v>43</v>
      </c>
      <c r="C336" s="9" t="s">
        <v>42</v>
      </c>
      <c r="D336" s="10">
        <v>39980</v>
      </c>
      <c r="E336" s="11">
        <v>5224952996</v>
      </c>
      <c r="F336" s="12">
        <v>22</v>
      </c>
      <c r="G336" s="4" t="s">
        <v>61</v>
      </c>
      <c r="H336" s="13">
        <v>454</v>
      </c>
      <c r="I336" s="14" t="s">
        <v>38</v>
      </c>
      <c r="J336" s="14" t="s">
        <v>18</v>
      </c>
      <c r="K336" s="14">
        <v>46</v>
      </c>
      <c r="L336" s="15">
        <v>15</v>
      </c>
      <c r="M336" s="15">
        <f t="shared" si="5"/>
        <v>690</v>
      </c>
      <c r="N336" s="14" t="s">
        <v>30</v>
      </c>
    </row>
    <row r="337" spans="1:14" ht="16.5" customHeight="1" x14ac:dyDescent="0.2">
      <c r="A337" s="7">
        <v>336</v>
      </c>
      <c r="B337" s="8" t="s">
        <v>43</v>
      </c>
      <c r="C337" s="9" t="s">
        <v>42</v>
      </c>
      <c r="D337" s="10">
        <v>39989</v>
      </c>
      <c r="E337" s="11">
        <v>126577112</v>
      </c>
      <c r="F337" s="12">
        <v>22</v>
      </c>
      <c r="G337" s="4" t="s">
        <v>61</v>
      </c>
      <c r="H337" s="13">
        <v>704</v>
      </c>
      <c r="I337" s="14" t="s">
        <v>36</v>
      </c>
      <c r="J337" s="14" t="s">
        <v>18</v>
      </c>
      <c r="K337" s="14">
        <v>32</v>
      </c>
      <c r="L337" s="15">
        <v>60</v>
      </c>
      <c r="M337" s="15">
        <f t="shared" si="5"/>
        <v>1920</v>
      </c>
      <c r="N337" s="16" t="s">
        <v>19</v>
      </c>
    </row>
    <row r="338" spans="1:14" ht="16.5" customHeight="1" x14ac:dyDescent="0.2">
      <c r="A338" s="7">
        <v>337</v>
      </c>
      <c r="B338" s="8" t="s">
        <v>48</v>
      </c>
      <c r="C338" s="9" t="s">
        <v>42</v>
      </c>
      <c r="D338" s="10">
        <v>35507</v>
      </c>
      <c r="E338" s="11">
        <v>4264555207</v>
      </c>
      <c r="F338" s="12">
        <v>31</v>
      </c>
      <c r="G338" s="4" t="s">
        <v>63</v>
      </c>
      <c r="H338" s="13">
        <v>240</v>
      </c>
      <c r="I338" s="14" t="s">
        <v>17</v>
      </c>
      <c r="J338" s="14" t="s">
        <v>18</v>
      </c>
      <c r="K338" s="14">
        <v>60</v>
      </c>
      <c r="L338" s="15">
        <v>45</v>
      </c>
      <c r="M338" s="15">
        <f t="shared" si="5"/>
        <v>2700</v>
      </c>
      <c r="N338" s="16" t="s">
        <v>19</v>
      </c>
    </row>
    <row r="339" spans="1:14" ht="16.5" customHeight="1" x14ac:dyDescent="0.2">
      <c r="A339" s="7">
        <v>338</v>
      </c>
      <c r="B339" s="8" t="s">
        <v>48</v>
      </c>
      <c r="C339" s="9" t="s">
        <v>42</v>
      </c>
      <c r="D339" s="10">
        <v>36434</v>
      </c>
      <c r="E339" s="11">
        <v>4264555207</v>
      </c>
      <c r="F339" s="12">
        <v>31</v>
      </c>
      <c r="G339" s="4" t="s">
        <v>63</v>
      </c>
      <c r="H339" s="13">
        <v>240</v>
      </c>
      <c r="I339" s="14" t="s">
        <v>17</v>
      </c>
      <c r="J339" s="14" t="s">
        <v>18</v>
      </c>
      <c r="K339" s="14">
        <v>17</v>
      </c>
      <c r="L339" s="15">
        <v>45</v>
      </c>
      <c r="M339" s="15">
        <f t="shared" si="5"/>
        <v>765</v>
      </c>
      <c r="N339" s="16" t="s">
        <v>19</v>
      </c>
    </row>
    <row r="340" spans="1:14" ht="16.5" customHeight="1" x14ac:dyDescent="0.2">
      <c r="A340" s="7">
        <v>339</v>
      </c>
      <c r="B340" s="8" t="s">
        <v>48</v>
      </c>
      <c r="C340" s="9" t="s">
        <v>42</v>
      </c>
      <c r="D340" s="10">
        <v>37361</v>
      </c>
      <c r="E340" s="11">
        <v>4264555207</v>
      </c>
      <c r="F340" s="12">
        <v>31</v>
      </c>
      <c r="G340" s="4" t="s">
        <v>63</v>
      </c>
      <c r="H340" s="13">
        <v>240</v>
      </c>
      <c r="I340" s="14" t="s">
        <v>17</v>
      </c>
      <c r="J340" s="14" t="s">
        <v>18</v>
      </c>
      <c r="K340" s="14">
        <v>92</v>
      </c>
      <c r="L340" s="15">
        <v>45</v>
      </c>
      <c r="M340" s="15">
        <f t="shared" si="5"/>
        <v>4140</v>
      </c>
      <c r="N340" s="16" t="s">
        <v>19</v>
      </c>
    </row>
    <row r="341" spans="1:14" ht="16.5" customHeight="1" x14ac:dyDescent="0.2">
      <c r="A341" s="7">
        <v>340</v>
      </c>
      <c r="B341" s="8" t="s">
        <v>48</v>
      </c>
      <c r="C341" s="9" t="s">
        <v>42</v>
      </c>
      <c r="D341" s="10">
        <v>38288</v>
      </c>
      <c r="E341" s="11">
        <v>4264555207</v>
      </c>
      <c r="F341" s="12">
        <v>31</v>
      </c>
      <c r="G341" s="4" t="s">
        <v>63</v>
      </c>
      <c r="H341" s="13">
        <v>240</v>
      </c>
      <c r="I341" s="14" t="s">
        <v>17</v>
      </c>
      <c r="J341" s="14" t="s">
        <v>18</v>
      </c>
      <c r="K341" s="14">
        <v>14</v>
      </c>
      <c r="L341" s="15">
        <v>45</v>
      </c>
      <c r="M341" s="15">
        <f t="shared" si="5"/>
        <v>630</v>
      </c>
      <c r="N341" s="16" t="s">
        <v>19</v>
      </c>
    </row>
    <row r="342" spans="1:14" ht="16.5" customHeight="1" x14ac:dyDescent="0.2">
      <c r="A342" s="7">
        <v>341</v>
      </c>
      <c r="B342" s="8" t="s">
        <v>48</v>
      </c>
      <c r="C342" s="9" t="s">
        <v>42</v>
      </c>
      <c r="D342" s="10">
        <v>39215</v>
      </c>
      <c r="E342" s="11">
        <v>4264555207</v>
      </c>
      <c r="F342" s="12">
        <v>31</v>
      </c>
      <c r="G342" s="4" t="s">
        <v>63</v>
      </c>
      <c r="H342" s="13">
        <v>240</v>
      </c>
      <c r="I342" s="14" t="s">
        <v>17</v>
      </c>
      <c r="J342" s="14" t="s">
        <v>18</v>
      </c>
      <c r="K342" s="14">
        <v>67</v>
      </c>
      <c r="L342" s="15">
        <v>45</v>
      </c>
      <c r="M342" s="15">
        <f t="shared" si="5"/>
        <v>3015</v>
      </c>
      <c r="N342" s="16" t="s">
        <v>19</v>
      </c>
    </row>
    <row r="343" spans="1:14" ht="16.5" customHeight="1" x14ac:dyDescent="0.2">
      <c r="A343" s="7">
        <v>342</v>
      </c>
      <c r="B343" s="8" t="s">
        <v>48</v>
      </c>
      <c r="C343" s="9" t="s">
        <v>42</v>
      </c>
      <c r="D343" s="10">
        <v>40142</v>
      </c>
      <c r="E343" s="11">
        <v>4264555207</v>
      </c>
      <c r="F343" s="12">
        <v>31</v>
      </c>
      <c r="G343" s="4" t="s">
        <v>63</v>
      </c>
      <c r="H343" s="13">
        <v>240</v>
      </c>
      <c r="I343" s="14" t="s">
        <v>17</v>
      </c>
      <c r="J343" s="14" t="s">
        <v>18</v>
      </c>
      <c r="K343" s="14">
        <v>23</v>
      </c>
      <c r="L343" s="15">
        <v>45</v>
      </c>
      <c r="M343" s="15">
        <f t="shared" si="5"/>
        <v>1035</v>
      </c>
      <c r="N343" s="16" t="s">
        <v>19</v>
      </c>
    </row>
    <row r="344" spans="1:14" ht="16.5" customHeight="1" x14ac:dyDescent="0.2">
      <c r="A344" s="7">
        <v>343</v>
      </c>
      <c r="B344" s="8" t="s">
        <v>41</v>
      </c>
      <c r="C344" s="9" t="s">
        <v>42</v>
      </c>
      <c r="D344" s="10">
        <v>35615</v>
      </c>
      <c r="E344" s="11">
        <v>1458538534</v>
      </c>
      <c r="F344" s="12">
        <v>31</v>
      </c>
      <c r="G344" s="4" t="s">
        <v>63</v>
      </c>
      <c r="H344" s="13">
        <v>195</v>
      </c>
      <c r="I344" s="14" t="s">
        <v>36</v>
      </c>
      <c r="J344" s="14" t="s">
        <v>18</v>
      </c>
      <c r="K344" s="14">
        <v>87</v>
      </c>
      <c r="L344" s="15">
        <v>60</v>
      </c>
      <c r="M344" s="15">
        <f t="shared" si="5"/>
        <v>5220</v>
      </c>
      <c r="N344" s="14" t="s">
        <v>25</v>
      </c>
    </row>
    <row r="345" spans="1:14" ht="16.5" customHeight="1" x14ac:dyDescent="0.2">
      <c r="A345" s="7">
        <v>344</v>
      </c>
      <c r="B345" s="8" t="s">
        <v>41</v>
      </c>
      <c r="C345" s="9" t="s">
        <v>42</v>
      </c>
      <c r="D345" s="10">
        <v>36542</v>
      </c>
      <c r="E345" s="11">
        <v>1458538534</v>
      </c>
      <c r="F345" s="12">
        <v>31</v>
      </c>
      <c r="G345" s="4" t="s">
        <v>63</v>
      </c>
      <c r="H345" s="13">
        <v>195</v>
      </c>
      <c r="I345" s="14" t="s">
        <v>36</v>
      </c>
      <c r="J345" s="14" t="s">
        <v>18</v>
      </c>
      <c r="K345" s="14">
        <v>94</v>
      </c>
      <c r="L345" s="15">
        <v>60</v>
      </c>
      <c r="M345" s="15">
        <f t="shared" si="5"/>
        <v>5640</v>
      </c>
      <c r="N345" s="14" t="s">
        <v>25</v>
      </c>
    </row>
    <row r="346" spans="1:14" ht="16.5" customHeight="1" x14ac:dyDescent="0.2">
      <c r="A346" s="7">
        <v>345</v>
      </c>
      <c r="B346" s="8" t="s">
        <v>41</v>
      </c>
      <c r="C346" s="9" t="s">
        <v>42</v>
      </c>
      <c r="D346" s="10">
        <v>37469</v>
      </c>
      <c r="E346" s="11">
        <v>1458538534</v>
      </c>
      <c r="F346" s="12">
        <v>31</v>
      </c>
      <c r="G346" s="4" t="s">
        <v>63</v>
      </c>
      <c r="H346" s="13">
        <v>195</v>
      </c>
      <c r="I346" s="14" t="s">
        <v>36</v>
      </c>
      <c r="J346" s="14" t="s">
        <v>18</v>
      </c>
      <c r="K346" s="14">
        <v>29</v>
      </c>
      <c r="L346" s="15">
        <v>60</v>
      </c>
      <c r="M346" s="15">
        <f t="shared" si="5"/>
        <v>1740</v>
      </c>
      <c r="N346" s="14" t="s">
        <v>25</v>
      </c>
    </row>
    <row r="347" spans="1:14" ht="16.5" customHeight="1" x14ac:dyDescent="0.2">
      <c r="A347" s="7">
        <v>346</v>
      </c>
      <c r="B347" s="8" t="s">
        <v>41</v>
      </c>
      <c r="C347" s="9" t="s">
        <v>42</v>
      </c>
      <c r="D347" s="10">
        <v>38396</v>
      </c>
      <c r="E347" s="11">
        <v>1458538534</v>
      </c>
      <c r="F347" s="12">
        <v>31</v>
      </c>
      <c r="G347" s="4" t="s">
        <v>63</v>
      </c>
      <c r="H347" s="13">
        <v>195</v>
      </c>
      <c r="I347" s="14" t="s">
        <v>36</v>
      </c>
      <c r="J347" s="14" t="s">
        <v>18</v>
      </c>
      <c r="K347" s="14">
        <v>39</v>
      </c>
      <c r="L347" s="15">
        <v>60</v>
      </c>
      <c r="M347" s="15">
        <f t="shared" si="5"/>
        <v>2340</v>
      </c>
      <c r="N347" s="14" t="s">
        <v>25</v>
      </c>
    </row>
    <row r="348" spans="1:14" ht="16.5" customHeight="1" x14ac:dyDescent="0.2">
      <c r="A348" s="7">
        <v>347</v>
      </c>
      <c r="B348" s="8" t="s">
        <v>41</v>
      </c>
      <c r="C348" s="9" t="s">
        <v>42</v>
      </c>
      <c r="D348" s="10">
        <v>39323</v>
      </c>
      <c r="E348" s="11">
        <v>1458538534</v>
      </c>
      <c r="F348" s="12">
        <v>31</v>
      </c>
      <c r="G348" s="4" t="s">
        <v>63</v>
      </c>
      <c r="H348" s="13">
        <v>195</v>
      </c>
      <c r="I348" s="14" t="s">
        <v>36</v>
      </c>
      <c r="J348" s="14" t="s">
        <v>18</v>
      </c>
      <c r="K348" s="14">
        <v>96</v>
      </c>
      <c r="L348" s="15">
        <v>60</v>
      </c>
      <c r="M348" s="15">
        <f t="shared" si="5"/>
        <v>5760</v>
      </c>
      <c r="N348" s="14" t="s">
        <v>25</v>
      </c>
    </row>
    <row r="349" spans="1:14" ht="16.5" customHeight="1" x14ac:dyDescent="0.2">
      <c r="A349" s="7">
        <v>348</v>
      </c>
      <c r="B349" s="8" t="s">
        <v>41</v>
      </c>
      <c r="C349" s="9" t="s">
        <v>42</v>
      </c>
      <c r="D349" s="10">
        <v>40250</v>
      </c>
      <c r="E349" s="11">
        <v>1458538534</v>
      </c>
      <c r="F349" s="12">
        <v>31</v>
      </c>
      <c r="G349" s="4" t="s">
        <v>63</v>
      </c>
      <c r="H349" s="13">
        <v>195</v>
      </c>
      <c r="I349" s="14" t="s">
        <v>36</v>
      </c>
      <c r="J349" s="14" t="s">
        <v>18</v>
      </c>
      <c r="K349" s="14">
        <v>36</v>
      </c>
      <c r="L349" s="15">
        <v>60</v>
      </c>
      <c r="M349" s="15">
        <f t="shared" si="5"/>
        <v>2160</v>
      </c>
      <c r="N349" s="14" t="s">
        <v>25</v>
      </c>
    </row>
    <row r="350" spans="1:14" ht="16.5" customHeight="1" x14ac:dyDescent="0.2">
      <c r="A350" s="7">
        <v>349</v>
      </c>
      <c r="B350" s="8" t="s">
        <v>43</v>
      </c>
      <c r="C350" s="9" t="s">
        <v>42</v>
      </c>
      <c r="D350" s="10">
        <v>35201</v>
      </c>
      <c r="E350" s="11">
        <v>7559585521</v>
      </c>
      <c r="F350" s="12">
        <v>31</v>
      </c>
      <c r="G350" s="4" t="s">
        <v>63</v>
      </c>
      <c r="H350" s="13">
        <v>909</v>
      </c>
      <c r="I350" s="14" t="s">
        <v>24</v>
      </c>
      <c r="J350" s="14" t="s">
        <v>18</v>
      </c>
      <c r="K350" s="14">
        <v>85</v>
      </c>
      <c r="L350" s="15">
        <v>50</v>
      </c>
      <c r="M350" s="15">
        <f t="shared" si="5"/>
        <v>4250</v>
      </c>
      <c r="N350" s="16" t="s">
        <v>19</v>
      </c>
    </row>
    <row r="351" spans="1:14" ht="16.5" customHeight="1" x14ac:dyDescent="0.2">
      <c r="A351" s="7">
        <v>350</v>
      </c>
      <c r="B351" s="8" t="s">
        <v>43</v>
      </c>
      <c r="C351" s="9" t="s">
        <v>42</v>
      </c>
      <c r="D351" s="10">
        <v>35246</v>
      </c>
      <c r="E351" s="11">
        <v>7383733580</v>
      </c>
      <c r="F351" s="12">
        <v>31</v>
      </c>
      <c r="G351" s="4" t="s">
        <v>63</v>
      </c>
      <c r="H351" s="13">
        <v>909</v>
      </c>
      <c r="I351" s="14" t="s">
        <v>24</v>
      </c>
      <c r="J351" s="14" t="s">
        <v>18</v>
      </c>
      <c r="K351" s="14">
        <v>60</v>
      </c>
      <c r="L351" s="15">
        <v>50</v>
      </c>
      <c r="M351" s="15">
        <f t="shared" si="5"/>
        <v>3000</v>
      </c>
      <c r="N351" s="14" t="s">
        <v>30</v>
      </c>
    </row>
    <row r="352" spans="1:14" ht="16.5" customHeight="1" x14ac:dyDescent="0.2">
      <c r="A352" s="7">
        <v>351</v>
      </c>
      <c r="B352" s="8" t="s">
        <v>43</v>
      </c>
      <c r="C352" s="9" t="s">
        <v>42</v>
      </c>
      <c r="D352" s="10">
        <v>35273</v>
      </c>
      <c r="E352" s="11">
        <v>4309964385</v>
      </c>
      <c r="F352" s="12">
        <v>31</v>
      </c>
      <c r="G352" s="4" t="s">
        <v>63</v>
      </c>
      <c r="H352" s="13">
        <v>359</v>
      </c>
      <c r="I352" s="14" t="s">
        <v>17</v>
      </c>
      <c r="J352" s="14" t="s">
        <v>18</v>
      </c>
      <c r="K352" s="14">
        <v>14</v>
      </c>
      <c r="L352" s="15">
        <v>25</v>
      </c>
      <c r="M352" s="15">
        <f t="shared" si="5"/>
        <v>350</v>
      </c>
      <c r="N352" s="14" t="s">
        <v>25</v>
      </c>
    </row>
    <row r="353" spans="1:14" ht="16.5" customHeight="1" x14ac:dyDescent="0.2">
      <c r="A353" s="7">
        <v>352</v>
      </c>
      <c r="B353" s="8" t="s">
        <v>43</v>
      </c>
      <c r="C353" s="9" t="s">
        <v>42</v>
      </c>
      <c r="D353" s="10">
        <v>35300</v>
      </c>
      <c r="E353" s="11">
        <v>278031112</v>
      </c>
      <c r="F353" s="12">
        <v>31</v>
      </c>
      <c r="G353" s="4" t="s">
        <v>63</v>
      </c>
      <c r="H353" s="13">
        <v>521</v>
      </c>
      <c r="I353" s="14" t="s">
        <v>22</v>
      </c>
      <c r="J353" s="14" t="s">
        <v>23</v>
      </c>
      <c r="K353" s="14">
        <v>28</v>
      </c>
      <c r="L353" s="15">
        <v>30</v>
      </c>
      <c r="M353" s="15">
        <f t="shared" si="5"/>
        <v>840</v>
      </c>
      <c r="N353" s="16" t="s">
        <v>19</v>
      </c>
    </row>
    <row r="354" spans="1:14" ht="16.5" customHeight="1" x14ac:dyDescent="0.2">
      <c r="A354" s="7">
        <v>353</v>
      </c>
      <c r="B354" s="8" t="s">
        <v>43</v>
      </c>
      <c r="C354" s="9" t="s">
        <v>42</v>
      </c>
      <c r="D354" s="10">
        <v>36128</v>
      </c>
      <c r="E354" s="11">
        <v>7559585521</v>
      </c>
      <c r="F354" s="12">
        <v>31</v>
      </c>
      <c r="G354" s="4" t="s">
        <v>63</v>
      </c>
      <c r="H354" s="13">
        <v>909</v>
      </c>
      <c r="I354" s="14" t="s">
        <v>24</v>
      </c>
      <c r="J354" s="14" t="s">
        <v>18</v>
      </c>
      <c r="K354" s="14">
        <v>51</v>
      </c>
      <c r="L354" s="15">
        <v>50</v>
      </c>
      <c r="M354" s="15">
        <f t="shared" si="5"/>
        <v>2550</v>
      </c>
      <c r="N354" s="16" t="s">
        <v>19</v>
      </c>
    </row>
    <row r="355" spans="1:14" ht="16.5" customHeight="1" x14ac:dyDescent="0.2">
      <c r="A355" s="7">
        <v>354</v>
      </c>
      <c r="B355" s="8" t="s">
        <v>43</v>
      </c>
      <c r="C355" s="9" t="s">
        <v>42</v>
      </c>
      <c r="D355" s="10">
        <v>36173</v>
      </c>
      <c r="E355" s="11">
        <v>7383733580</v>
      </c>
      <c r="F355" s="12">
        <v>31</v>
      </c>
      <c r="G355" s="4" t="s">
        <v>63</v>
      </c>
      <c r="H355" s="13">
        <v>909</v>
      </c>
      <c r="I355" s="14" t="s">
        <v>24</v>
      </c>
      <c r="J355" s="14" t="s">
        <v>18</v>
      </c>
      <c r="K355" s="14">
        <v>44</v>
      </c>
      <c r="L355" s="15">
        <v>50</v>
      </c>
      <c r="M355" s="15">
        <f t="shared" si="5"/>
        <v>2200</v>
      </c>
      <c r="N355" s="14" t="s">
        <v>30</v>
      </c>
    </row>
    <row r="356" spans="1:14" ht="16.5" customHeight="1" x14ac:dyDescent="0.2">
      <c r="A356" s="7">
        <v>355</v>
      </c>
      <c r="B356" s="8" t="s">
        <v>43</v>
      </c>
      <c r="C356" s="9" t="s">
        <v>42</v>
      </c>
      <c r="D356" s="10">
        <v>36200</v>
      </c>
      <c r="E356" s="11">
        <v>4309964385</v>
      </c>
      <c r="F356" s="12">
        <v>31</v>
      </c>
      <c r="G356" s="4" t="s">
        <v>63</v>
      </c>
      <c r="H356" s="13">
        <v>359</v>
      </c>
      <c r="I356" s="14" t="s">
        <v>17</v>
      </c>
      <c r="J356" s="14" t="s">
        <v>18</v>
      </c>
      <c r="K356" s="14">
        <v>27</v>
      </c>
      <c r="L356" s="15">
        <v>25</v>
      </c>
      <c r="M356" s="15">
        <f t="shared" si="5"/>
        <v>675</v>
      </c>
      <c r="N356" s="14" t="s">
        <v>25</v>
      </c>
    </row>
    <row r="357" spans="1:14" ht="16.5" customHeight="1" x14ac:dyDescent="0.2">
      <c r="A357" s="7">
        <v>356</v>
      </c>
      <c r="B357" s="8" t="s">
        <v>43</v>
      </c>
      <c r="C357" s="9" t="s">
        <v>42</v>
      </c>
      <c r="D357" s="10">
        <v>36227</v>
      </c>
      <c r="E357" s="11">
        <v>278031112</v>
      </c>
      <c r="F357" s="12">
        <v>31</v>
      </c>
      <c r="G357" s="4" t="s">
        <v>63</v>
      </c>
      <c r="H357" s="13">
        <v>521</v>
      </c>
      <c r="I357" s="14" t="s">
        <v>22</v>
      </c>
      <c r="J357" s="14" t="s">
        <v>23</v>
      </c>
      <c r="K357" s="14">
        <v>38</v>
      </c>
      <c r="L357" s="15">
        <v>30</v>
      </c>
      <c r="M357" s="15">
        <f t="shared" si="5"/>
        <v>1140</v>
      </c>
      <c r="N357" s="16" t="s">
        <v>19</v>
      </c>
    </row>
    <row r="358" spans="1:14" ht="16.5" customHeight="1" x14ac:dyDescent="0.2">
      <c r="A358" s="7">
        <v>357</v>
      </c>
      <c r="B358" s="8" t="s">
        <v>43</v>
      </c>
      <c r="C358" s="9" t="s">
        <v>42</v>
      </c>
      <c r="D358" s="10">
        <v>37055</v>
      </c>
      <c r="E358" s="11">
        <v>7559585521</v>
      </c>
      <c r="F358" s="12">
        <v>13</v>
      </c>
      <c r="G358" s="4" t="s">
        <v>64</v>
      </c>
      <c r="H358" s="13">
        <v>909</v>
      </c>
      <c r="I358" s="14" t="s">
        <v>24</v>
      </c>
      <c r="J358" s="14" t="s">
        <v>18</v>
      </c>
      <c r="K358" s="14">
        <v>25</v>
      </c>
      <c r="L358" s="15">
        <v>50</v>
      </c>
      <c r="M358" s="15">
        <f t="shared" si="5"/>
        <v>1250</v>
      </c>
      <c r="N358" s="16" t="s">
        <v>19</v>
      </c>
    </row>
    <row r="359" spans="1:14" ht="16.5" customHeight="1" x14ac:dyDescent="0.2">
      <c r="A359" s="7">
        <v>358</v>
      </c>
      <c r="B359" s="8" t="s">
        <v>43</v>
      </c>
      <c r="C359" s="9" t="s">
        <v>42</v>
      </c>
      <c r="D359" s="10">
        <v>37100</v>
      </c>
      <c r="E359" s="11">
        <v>7383733580</v>
      </c>
      <c r="F359" s="12">
        <v>13</v>
      </c>
      <c r="G359" s="4" t="s">
        <v>64</v>
      </c>
      <c r="H359" s="13">
        <v>909</v>
      </c>
      <c r="I359" s="14" t="s">
        <v>24</v>
      </c>
      <c r="J359" s="14" t="s">
        <v>18</v>
      </c>
      <c r="K359" s="14">
        <v>15</v>
      </c>
      <c r="L359" s="15">
        <v>50</v>
      </c>
      <c r="M359" s="15">
        <f t="shared" si="5"/>
        <v>750</v>
      </c>
      <c r="N359" s="14" t="s">
        <v>30</v>
      </c>
    </row>
    <row r="360" spans="1:14" ht="16.5" customHeight="1" x14ac:dyDescent="0.2">
      <c r="A360" s="7">
        <v>359</v>
      </c>
      <c r="B360" s="8" t="s">
        <v>43</v>
      </c>
      <c r="C360" s="9" t="s">
        <v>42</v>
      </c>
      <c r="D360" s="10">
        <v>37127</v>
      </c>
      <c r="E360" s="11">
        <v>4309964385</v>
      </c>
      <c r="F360" s="12">
        <v>13</v>
      </c>
      <c r="G360" s="4" t="s">
        <v>64</v>
      </c>
      <c r="H360" s="13">
        <v>359</v>
      </c>
      <c r="I360" s="14" t="s">
        <v>17</v>
      </c>
      <c r="J360" s="14" t="s">
        <v>18</v>
      </c>
      <c r="K360" s="14">
        <v>11</v>
      </c>
      <c r="L360" s="15">
        <v>25</v>
      </c>
      <c r="M360" s="15">
        <f t="shared" si="5"/>
        <v>275</v>
      </c>
      <c r="N360" s="14" t="s">
        <v>25</v>
      </c>
    </row>
    <row r="361" spans="1:14" ht="16.5" customHeight="1" x14ac:dyDescent="0.2">
      <c r="A361" s="7">
        <v>360</v>
      </c>
      <c r="B361" s="8" t="s">
        <v>43</v>
      </c>
      <c r="C361" s="9" t="s">
        <v>42</v>
      </c>
      <c r="D361" s="10">
        <v>37154</v>
      </c>
      <c r="E361" s="11">
        <v>278031112</v>
      </c>
      <c r="F361" s="12">
        <v>13</v>
      </c>
      <c r="G361" s="4" t="s">
        <v>64</v>
      </c>
      <c r="H361" s="13">
        <v>521</v>
      </c>
      <c r="I361" s="14" t="s">
        <v>22</v>
      </c>
      <c r="J361" s="14" t="s">
        <v>23</v>
      </c>
      <c r="K361" s="14">
        <v>43</v>
      </c>
      <c r="L361" s="15">
        <v>30</v>
      </c>
      <c r="M361" s="15">
        <f t="shared" si="5"/>
        <v>1290</v>
      </c>
      <c r="N361" s="16" t="s">
        <v>19</v>
      </c>
    </row>
    <row r="362" spans="1:14" ht="16.5" customHeight="1" x14ac:dyDescent="0.2">
      <c r="A362" s="7">
        <v>361</v>
      </c>
      <c r="B362" s="8" t="s">
        <v>43</v>
      </c>
      <c r="C362" s="9" t="s">
        <v>42</v>
      </c>
      <c r="D362" s="10">
        <v>37982</v>
      </c>
      <c r="E362" s="11">
        <v>7559585521</v>
      </c>
      <c r="F362" s="12">
        <v>13</v>
      </c>
      <c r="G362" s="4" t="s">
        <v>64</v>
      </c>
      <c r="H362" s="13">
        <v>909</v>
      </c>
      <c r="I362" s="14" t="s">
        <v>24</v>
      </c>
      <c r="J362" s="14" t="s">
        <v>18</v>
      </c>
      <c r="K362" s="14">
        <v>29</v>
      </c>
      <c r="L362" s="15">
        <v>50</v>
      </c>
      <c r="M362" s="15">
        <f t="shared" si="5"/>
        <v>1450</v>
      </c>
      <c r="N362" s="16" t="s">
        <v>19</v>
      </c>
    </row>
    <row r="363" spans="1:14" ht="16.5" customHeight="1" x14ac:dyDescent="0.2">
      <c r="A363" s="7">
        <v>362</v>
      </c>
      <c r="B363" s="8" t="s">
        <v>43</v>
      </c>
      <c r="C363" s="9" t="s">
        <v>42</v>
      </c>
      <c r="D363" s="10">
        <v>38027</v>
      </c>
      <c r="E363" s="11">
        <v>7383733580</v>
      </c>
      <c r="F363" s="12">
        <v>13</v>
      </c>
      <c r="G363" s="4" t="s">
        <v>64</v>
      </c>
      <c r="H363" s="13">
        <v>909</v>
      </c>
      <c r="I363" s="14" t="s">
        <v>24</v>
      </c>
      <c r="J363" s="14" t="s">
        <v>18</v>
      </c>
      <c r="K363" s="14">
        <v>81</v>
      </c>
      <c r="L363" s="15">
        <v>50</v>
      </c>
      <c r="M363" s="15">
        <f t="shared" si="5"/>
        <v>4050</v>
      </c>
      <c r="N363" s="14" t="s">
        <v>30</v>
      </c>
    </row>
    <row r="364" spans="1:14" ht="16.5" customHeight="1" x14ac:dyDescent="0.2">
      <c r="A364" s="7">
        <v>363</v>
      </c>
      <c r="B364" s="8" t="s">
        <v>43</v>
      </c>
      <c r="C364" s="9" t="s">
        <v>42</v>
      </c>
      <c r="D364" s="10">
        <v>38054</v>
      </c>
      <c r="E364" s="11">
        <v>4309964385</v>
      </c>
      <c r="F364" s="12">
        <v>13</v>
      </c>
      <c r="G364" s="4" t="s">
        <v>64</v>
      </c>
      <c r="H364" s="13">
        <v>359</v>
      </c>
      <c r="I364" s="14" t="s">
        <v>17</v>
      </c>
      <c r="J364" s="14" t="s">
        <v>18</v>
      </c>
      <c r="K364" s="14">
        <v>67</v>
      </c>
      <c r="L364" s="15">
        <v>25</v>
      </c>
      <c r="M364" s="15">
        <f t="shared" si="5"/>
        <v>1675</v>
      </c>
      <c r="N364" s="14" t="s">
        <v>25</v>
      </c>
    </row>
    <row r="365" spans="1:14" ht="16.5" customHeight="1" x14ac:dyDescent="0.2">
      <c r="A365" s="7">
        <v>364</v>
      </c>
      <c r="B365" s="8" t="s">
        <v>43</v>
      </c>
      <c r="C365" s="9" t="s">
        <v>42</v>
      </c>
      <c r="D365" s="10">
        <v>38081</v>
      </c>
      <c r="E365" s="11">
        <v>278031112</v>
      </c>
      <c r="F365" s="12">
        <v>13</v>
      </c>
      <c r="G365" s="4" t="s">
        <v>64</v>
      </c>
      <c r="H365" s="13">
        <v>521</v>
      </c>
      <c r="I365" s="14" t="s">
        <v>22</v>
      </c>
      <c r="J365" s="14" t="s">
        <v>23</v>
      </c>
      <c r="K365" s="14">
        <v>23</v>
      </c>
      <c r="L365" s="15">
        <v>30</v>
      </c>
      <c r="M365" s="15">
        <f t="shared" si="5"/>
        <v>690</v>
      </c>
      <c r="N365" s="16" t="s">
        <v>19</v>
      </c>
    </row>
    <row r="366" spans="1:14" ht="16.5" customHeight="1" x14ac:dyDescent="0.2">
      <c r="A366" s="7">
        <v>365</v>
      </c>
      <c r="B366" s="8" t="s">
        <v>43</v>
      </c>
      <c r="C366" s="9" t="s">
        <v>42</v>
      </c>
      <c r="D366" s="10">
        <v>38909</v>
      </c>
      <c r="E366" s="11">
        <v>7559585521</v>
      </c>
      <c r="F366" s="12">
        <v>13</v>
      </c>
      <c r="G366" s="4" t="s">
        <v>64</v>
      </c>
      <c r="H366" s="13">
        <v>909</v>
      </c>
      <c r="I366" s="14" t="s">
        <v>24</v>
      </c>
      <c r="J366" s="14" t="s">
        <v>18</v>
      </c>
      <c r="K366" s="14">
        <v>16</v>
      </c>
      <c r="L366" s="15">
        <v>50</v>
      </c>
      <c r="M366" s="15">
        <f t="shared" si="5"/>
        <v>800</v>
      </c>
      <c r="N366" s="16" t="s">
        <v>19</v>
      </c>
    </row>
    <row r="367" spans="1:14" ht="16.5" customHeight="1" x14ac:dyDescent="0.2">
      <c r="A367" s="7">
        <v>366</v>
      </c>
      <c r="B367" s="8" t="s">
        <v>43</v>
      </c>
      <c r="C367" s="9" t="s">
        <v>42</v>
      </c>
      <c r="D367" s="10">
        <v>38954</v>
      </c>
      <c r="E367" s="11">
        <v>7383733580</v>
      </c>
      <c r="F367" s="12">
        <v>13</v>
      </c>
      <c r="G367" s="4" t="s">
        <v>64</v>
      </c>
      <c r="H367" s="13">
        <v>909</v>
      </c>
      <c r="I367" s="14" t="s">
        <v>24</v>
      </c>
      <c r="J367" s="14" t="s">
        <v>18</v>
      </c>
      <c r="K367" s="14">
        <v>28</v>
      </c>
      <c r="L367" s="15">
        <v>50</v>
      </c>
      <c r="M367" s="15">
        <f t="shared" si="5"/>
        <v>1400</v>
      </c>
      <c r="N367" s="14" t="s">
        <v>30</v>
      </c>
    </row>
    <row r="368" spans="1:14" ht="16.5" customHeight="1" x14ac:dyDescent="0.2">
      <c r="A368" s="7">
        <v>367</v>
      </c>
      <c r="B368" s="8" t="s">
        <v>43</v>
      </c>
      <c r="C368" s="9" t="s">
        <v>42</v>
      </c>
      <c r="D368" s="10">
        <v>38981</v>
      </c>
      <c r="E368" s="11">
        <v>4309964385</v>
      </c>
      <c r="F368" s="12">
        <v>13</v>
      </c>
      <c r="G368" s="4" t="s">
        <v>64</v>
      </c>
      <c r="H368" s="13">
        <v>359</v>
      </c>
      <c r="I368" s="14" t="s">
        <v>17</v>
      </c>
      <c r="J368" s="14" t="s">
        <v>18</v>
      </c>
      <c r="K368" s="14">
        <v>15</v>
      </c>
      <c r="L368" s="15">
        <v>25</v>
      </c>
      <c r="M368" s="15">
        <f t="shared" si="5"/>
        <v>375</v>
      </c>
      <c r="N368" s="14" t="s">
        <v>25</v>
      </c>
    </row>
    <row r="369" spans="1:14" ht="16.5" customHeight="1" x14ac:dyDescent="0.2">
      <c r="A369" s="7">
        <v>368</v>
      </c>
      <c r="B369" s="8" t="s">
        <v>43</v>
      </c>
      <c r="C369" s="9" t="s">
        <v>42</v>
      </c>
      <c r="D369" s="10">
        <v>39008</v>
      </c>
      <c r="E369" s="11">
        <v>278031112</v>
      </c>
      <c r="F369" s="12">
        <v>13</v>
      </c>
      <c r="G369" s="4" t="s">
        <v>64</v>
      </c>
      <c r="H369" s="13">
        <v>521</v>
      </c>
      <c r="I369" s="14" t="s">
        <v>22</v>
      </c>
      <c r="J369" s="14" t="s">
        <v>23</v>
      </c>
      <c r="K369" s="14">
        <v>98</v>
      </c>
      <c r="L369" s="15">
        <v>30</v>
      </c>
      <c r="M369" s="15">
        <f t="shared" si="5"/>
        <v>2940</v>
      </c>
      <c r="N369" s="16" t="s">
        <v>19</v>
      </c>
    </row>
    <row r="370" spans="1:14" ht="16.5" customHeight="1" x14ac:dyDescent="0.2">
      <c r="A370" s="7">
        <v>369</v>
      </c>
      <c r="B370" s="8" t="s">
        <v>43</v>
      </c>
      <c r="C370" s="9" t="s">
        <v>42</v>
      </c>
      <c r="D370" s="10">
        <v>39836</v>
      </c>
      <c r="E370" s="11">
        <v>7559585521</v>
      </c>
      <c r="F370" s="12">
        <v>13</v>
      </c>
      <c r="G370" s="4" t="s">
        <v>64</v>
      </c>
      <c r="H370" s="13">
        <v>909</v>
      </c>
      <c r="I370" s="14" t="s">
        <v>24</v>
      </c>
      <c r="J370" s="14" t="s">
        <v>18</v>
      </c>
      <c r="K370" s="14">
        <v>10</v>
      </c>
      <c r="L370" s="15">
        <v>50</v>
      </c>
      <c r="M370" s="15">
        <f t="shared" si="5"/>
        <v>500</v>
      </c>
      <c r="N370" s="16" t="s">
        <v>19</v>
      </c>
    </row>
    <row r="371" spans="1:14" ht="16.5" customHeight="1" x14ac:dyDescent="0.2">
      <c r="A371" s="7">
        <v>370</v>
      </c>
      <c r="B371" s="8" t="s">
        <v>43</v>
      </c>
      <c r="C371" s="9" t="s">
        <v>42</v>
      </c>
      <c r="D371" s="10">
        <v>39881</v>
      </c>
      <c r="E371" s="11">
        <v>7383733580</v>
      </c>
      <c r="F371" s="12">
        <v>13</v>
      </c>
      <c r="G371" s="4" t="s">
        <v>64</v>
      </c>
      <c r="H371" s="13">
        <v>909</v>
      </c>
      <c r="I371" s="14" t="s">
        <v>24</v>
      </c>
      <c r="J371" s="14" t="s">
        <v>18</v>
      </c>
      <c r="K371" s="14">
        <v>18</v>
      </c>
      <c r="L371" s="15">
        <v>50</v>
      </c>
      <c r="M371" s="15">
        <f t="shared" si="5"/>
        <v>900</v>
      </c>
      <c r="N371" s="14" t="s">
        <v>30</v>
      </c>
    </row>
    <row r="372" spans="1:14" ht="16.5" customHeight="1" x14ac:dyDescent="0.2">
      <c r="A372" s="7">
        <v>371</v>
      </c>
      <c r="B372" s="8" t="s">
        <v>43</v>
      </c>
      <c r="C372" s="9" t="s">
        <v>42</v>
      </c>
      <c r="D372" s="10">
        <v>39908</v>
      </c>
      <c r="E372" s="11">
        <v>4309964385</v>
      </c>
      <c r="F372" s="12">
        <v>13</v>
      </c>
      <c r="G372" s="4" t="s">
        <v>64</v>
      </c>
      <c r="H372" s="13">
        <v>359</v>
      </c>
      <c r="I372" s="14" t="s">
        <v>17</v>
      </c>
      <c r="J372" s="14" t="s">
        <v>18</v>
      </c>
      <c r="K372" s="14">
        <v>82</v>
      </c>
      <c r="L372" s="15">
        <v>25</v>
      </c>
      <c r="M372" s="15">
        <f t="shared" si="5"/>
        <v>2050</v>
      </c>
      <c r="N372" s="14" t="s">
        <v>25</v>
      </c>
    </row>
    <row r="373" spans="1:14" ht="16.5" customHeight="1" x14ac:dyDescent="0.2">
      <c r="A373" s="7">
        <v>372</v>
      </c>
      <c r="B373" s="8" t="s">
        <v>43</v>
      </c>
      <c r="C373" s="9" t="s">
        <v>42</v>
      </c>
      <c r="D373" s="10">
        <v>39935</v>
      </c>
      <c r="E373" s="11">
        <v>278031112</v>
      </c>
      <c r="F373" s="12">
        <v>13</v>
      </c>
      <c r="G373" s="4" t="s">
        <v>64</v>
      </c>
      <c r="H373" s="13">
        <v>521</v>
      </c>
      <c r="I373" s="14" t="s">
        <v>22</v>
      </c>
      <c r="J373" s="14" t="s">
        <v>23</v>
      </c>
      <c r="K373" s="14">
        <v>35</v>
      </c>
      <c r="L373" s="15">
        <v>30</v>
      </c>
      <c r="M373" s="15">
        <f t="shared" si="5"/>
        <v>1050</v>
      </c>
      <c r="N373" s="16" t="s">
        <v>19</v>
      </c>
    </row>
    <row r="374" spans="1:14" ht="16.5" customHeight="1" x14ac:dyDescent="0.2">
      <c r="A374" s="7">
        <v>373</v>
      </c>
      <c r="B374" s="8" t="s">
        <v>52</v>
      </c>
      <c r="C374" s="9" t="s">
        <v>42</v>
      </c>
      <c r="D374" s="10">
        <v>34940</v>
      </c>
      <c r="E374" s="11">
        <v>2950099975</v>
      </c>
      <c r="F374" s="12">
        <v>13</v>
      </c>
      <c r="G374" s="4" t="s">
        <v>64</v>
      </c>
      <c r="H374" s="13">
        <v>359</v>
      </c>
      <c r="I374" s="14" t="s">
        <v>17</v>
      </c>
      <c r="J374" s="14" t="s">
        <v>18</v>
      </c>
      <c r="K374" s="14">
        <v>46</v>
      </c>
      <c r="L374" s="15">
        <v>25</v>
      </c>
      <c r="M374" s="15">
        <f t="shared" si="5"/>
        <v>1150</v>
      </c>
      <c r="N374" s="14" t="s">
        <v>30</v>
      </c>
    </row>
    <row r="375" spans="1:14" ht="16.5" customHeight="1" x14ac:dyDescent="0.2">
      <c r="A375" s="7">
        <v>374</v>
      </c>
      <c r="B375" s="8" t="s">
        <v>52</v>
      </c>
      <c r="C375" s="9" t="s">
        <v>42</v>
      </c>
      <c r="D375" s="10">
        <v>35867</v>
      </c>
      <c r="E375" s="11">
        <v>2950099975</v>
      </c>
      <c r="F375" s="12">
        <v>13</v>
      </c>
      <c r="G375" s="4" t="s">
        <v>64</v>
      </c>
      <c r="H375" s="13">
        <v>359</v>
      </c>
      <c r="I375" s="14" t="s">
        <v>17</v>
      </c>
      <c r="J375" s="14" t="s">
        <v>18</v>
      </c>
      <c r="K375" s="14">
        <v>71</v>
      </c>
      <c r="L375" s="15">
        <v>25</v>
      </c>
      <c r="M375" s="15">
        <f t="shared" si="5"/>
        <v>1775</v>
      </c>
      <c r="N375" s="14" t="s">
        <v>30</v>
      </c>
    </row>
    <row r="376" spans="1:14" ht="16.5" customHeight="1" x14ac:dyDescent="0.2">
      <c r="A376" s="7">
        <v>375</v>
      </c>
      <c r="B376" s="8" t="s">
        <v>52</v>
      </c>
      <c r="C376" s="9" t="s">
        <v>42</v>
      </c>
      <c r="D376" s="10">
        <v>36794</v>
      </c>
      <c r="E376" s="11">
        <v>2950099975</v>
      </c>
      <c r="F376" s="12">
        <v>34</v>
      </c>
      <c r="G376" s="4" t="s">
        <v>65</v>
      </c>
      <c r="H376" s="13">
        <v>359</v>
      </c>
      <c r="I376" s="14" t="s">
        <v>17</v>
      </c>
      <c r="J376" s="14" t="s">
        <v>18</v>
      </c>
      <c r="K376" s="14">
        <v>79</v>
      </c>
      <c r="L376" s="15">
        <v>25</v>
      </c>
      <c r="M376" s="15">
        <f t="shared" si="5"/>
        <v>1975</v>
      </c>
      <c r="N376" s="14" t="s">
        <v>30</v>
      </c>
    </row>
    <row r="377" spans="1:14" ht="16.5" customHeight="1" x14ac:dyDescent="0.2">
      <c r="A377" s="7">
        <v>376</v>
      </c>
      <c r="B377" s="8" t="s">
        <v>52</v>
      </c>
      <c r="C377" s="9" t="s">
        <v>42</v>
      </c>
      <c r="D377" s="10">
        <v>37721</v>
      </c>
      <c r="E377" s="11">
        <v>2950099975</v>
      </c>
      <c r="F377" s="12">
        <v>34</v>
      </c>
      <c r="G377" s="4" t="s">
        <v>65</v>
      </c>
      <c r="H377" s="13">
        <v>359</v>
      </c>
      <c r="I377" s="14" t="s">
        <v>17</v>
      </c>
      <c r="J377" s="14" t="s">
        <v>18</v>
      </c>
      <c r="K377" s="14">
        <v>82</v>
      </c>
      <c r="L377" s="15">
        <v>25</v>
      </c>
      <c r="M377" s="15">
        <f t="shared" si="5"/>
        <v>2050</v>
      </c>
      <c r="N377" s="14" t="s">
        <v>30</v>
      </c>
    </row>
    <row r="378" spans="1:14" ht="16.5" customHeight="1" x14ac:dyDescent="0.2">
      <c r="A378" s="7">
        <v>377</v>
      </c>
      <c r="B378" s="8" t="s">
        <v>52</v>
      </c>
      <c r="C378" s="9" t="s">
        <v>42</v>
      </c>
      <c r="D378" s="10">
        <v>38648</v>
      </c>
      <c r="E378" s="11">
        <v>2950099975</v>
      </c>
      <c r="F378" s="12">
        <v>34</v>
      </c>
      <c r="G378" s="4" t="s">
        <v>65</v>
      </c>
      <c r="H378" s="13">
        <v>359</v>
      </c>
      <c r="I378" s="14" t="s">
        <v>17</v>
      </c>
      <c r="J378" s="14" t="s">
        <v>18</v>
      </c>
      <c r="K378" s="14">
        <v>44</v>
      </c>
      <c r="L378" s="15">
        <v>25</v>
      </c>
      <c r="M378" s="15">
        <f t="shared" si="5"/>
        <v>1100</v>
      </c>
      <c r="N378" s="14" t="s">
        <v>30</v>
      </c>
    </row>
    <row r="379" spans="1:14" ht="16.5" customHeight="1" x14ac:dyDescent="0.2">
      <c r="A379" s="7">
        <v>378</v>
      </c>
      <c r="B379" s="8" t="s">
        <v>52</v>
      </c>
      <c r="C379" s="9" t="s">
        <v>42</v>
      </c>
      <c r="D379" s="10">
        <v>39575</v>
      </c>
      <c r="E379" s="11">
        <v>2950099975</v>
      </c>
      <c r="F379" s="12">
        <v>34</v>
      </c>
      <c r="G379" s="4" t="s">
        <v>65</v>
      </c>
      <c r="H379" s="13">
        <v>359</v>
      </c>
      <c r="I379" s="14" t="s">
        <v>17</v>
      </c>
      <c r="J379" s="14" t="s">
        <v>18</v>
      </c>
      <c r="K379" s="14">
        <v>21</v>
      </c>
      <c r="L379" s="15">
        <v>25</v>
      </c>
      <c r="M379" s="15">
        <f t="shared" si="5"/>
        <v>525</v>
      </c>
      <c r="N379" s="14" t="s">
        <v>30</v>
      </c>
    </row>
    <row r="380" spans="1:14" ht="16.5" customHeight="1" x14ac:dyDescent="0.2">
      <c r="A380" s="7">
        <v>379</v>
      </c>
      <c r="B380" s="8" t="s">
        <v>41</v>
      </c>
      <c r="C380" s="9" t="s">
        <v>42</v>
      </c>
      <c r="D380" s="10">
        <v>35561</v>
      </c>
      <c r="E380" s="11">
        <v>2177541098</v>
      </c>
      <c r="F380" s="12">
        <v>34</v>
      </c>
      <c r="G380" s="4" t="s">
        <v>65</v>
      </c>
      <c r="H380" s="13">
        <v>896</v>
      </c>
      <c r="I380" s="14" t="s">
        <v>38</v>
      </c>
      <c r="J380" s="14" t="s">
        <v>18</v>
      </c>
      <c r="K380" s="14">
        <v>93</v>
      </c>
      <c r="L380" s="15">
        <v>15</v>
      </c>
      <c r="M380" s="15">
        <f t="shared" si="5"/>
        <v>1395</v>
      </c>
      <c r="N380" s="14" t="s">
        <v>25</v>
      </c>
    </row>
    <row r="381" spans="1:14" ht="16.5" customHeight="1" x14ac:dyDescent="0.2">
      <c r="A381" s="7">
        <v>380</v>
      </c>
      <c r="B381" s="8" t="s">
        <v>41</v>
      </c>
      <c r="C381" s="9" t="s">
        <v>42</v>
      </c>
      <c r="D381" s="10">
        <v>35633</v>
      </c>
      <c r="E381" s="11">
        <v>8306821129</v>
      </c>
      <c r="F381" s="12">
        <v>34</v>
      </c>
      <c r="G381" s="4" t="s">
        <v>65</v>
      </c>
      <c r="H381" s="13">
        <v>195</v>
      </c>
      <c r="I381" s="14" t="s">
        <v>36</v>
      </c>
      <c r="J381" s="14" t="s">
        <v>18</v>
      </c>
      <c r="K381" s="14">
        <v>27</v>
      </c>
      <c r="L381" s="15">
        <v>60</v>
      </c>
      <c r="M381" s="15">
        <f t="shared" si="5"/>
        <v>1620</v>
      </c>
      <c r="N381" s="14" t="s">
        <v>25</v>
      </c>
    </row>
    <row r="382" spans="1:14" ht="16.5" customHeight="1" x14ac:dyDescent="0.2">
      <c r="A382" s="7">
        <v>381</v>
      </c>
      <c r="B382" s="8" t="s">
        <v>41</v>
      </c>
      <c r="C382" s="9" t="s">
        <v>42</v>
      </c>
      <c r="D382" s="10">
        <v>36488</v>
      </c>
      <c r="E382" s="11">
        <v>2177541098</v>
      </c>
      <c r="F382" s="12">
        <v>34</v>
      </c>
      <c r="G382" s="4" t="s">
        <v>65</v>
      </c>
      <c r="H382" s="13">
        <v>896</v>
      </c>
      <c r="I382" s="14" t="s">
        <v>38</v>
      </c>
      <c r="J382" s="14" t="s">
        <v>18</v>
      </c>
      <c r="K382" s="14">
        <v>47</v>
      </c>
      <c r="L382" s="15">
        <v>15</v>
      </c>
      <c r="M382" s="15">
        <f t="shared" si="5"/>
        <v>705</v>
      </c>
      <c r="N382" s="14" t="s">
        <v>25</v>
      </c>
    </row>
    <row r="383" spans="1:14" ht="16.5" customHeight="1" x14ac:dyDescent="0.2">
      <c r="A383" s="7">
        <v>382</v>
      </c>
      <c r="B383" s="8" t="s">
        <v>41</v>
      </c>
      <c r="C383" s="9" t="s">
        <v>42</v>
      </c>
      <c r="D383" s="10">
        <v>36560</v>
      </c>
      <c r="E383" s="11">
        <v>8306821129</v>
      </c>
      <c r="F383" s="12">
        <v>34</v>
      </c>
      <c r="G383" s="4" t="s">
        <v>65</v>
      </c>
      <c r="H383" s="13">
        <v>195</v>
      </c>
      <c r="I383" s="14" t="s">
        <v>36</v>
      </c>
      <c r="J383" s="14" t="s">
        <v>18</v>
      </c>
      <c r="K383" s="14">
        <v>17</v>
      </c>
      <c r="L383" s="15">
        <v>60</v>
      </c>
      <c r="M383" s="15">
        <f t="shared" si="5"/>
        <v>1020</v>
      </c>
      <c r="N383" s="14" t="s">
        <v>25</v>
      </c>
    </row>
    <row r="384" spans="1:14" ht="16.5" customHeight="1" x14ac:dyDescent="0.2">
      <c r="A384" s="7">
        <v>383</v>
      </c>
      <c r="B384" s="8" t="s">
        <v>41</v>
      </c>
      <c r="C384" s="9" t="s">
        <v>42</v>
      </c>
      <c r="D384" s="10">
        <v>37415</v>
      </c>
      <c r="E384" s="11">
        <v>2177541098</v>
      </c>
      <c r="F384" s="12">
        <v>34</v>
      </c>
      <c r="G384" s="4" t="s">
        <v>65</v>
      </c>
      <c r="H384" s="13">
        <v>896</v>
      </c>
      <c r="I384" s="14" t="s">
        <v>38</v>
      </c>
      <c r="J384" s="14" t="s">
        <v>18</v>
      </c>
      <c r="K384" s="14">
        <v>66</v>
      </c>
      <c r="L384" s="15">
        <v>15</v>
      </c>
      <c r="M384" s="15">
        <f t="shared" si="5"/>
        <v>990</v>
      </c>
      <c r="N384" s="14" t="s">
        <v>25</v>
      </c>
    </row>
    <row r="385" spans="1:14" ht="16.5" customHeight="1" x14ac:dyDescent="0.2">
      <c r="A385" s="7">
        <v>384</v>
      </c>
      <c r="B385" s="8" t="s">
        <v>41</v>
      </c>
      <c r="C385" s="9" t="s">
        <v>42</v>
      </c>
      <c r="D385" s="10">
        <v>37487</v>
      </c>
      <c r="E385" s="11">
        <v>8306821129</v>
      </c>
      <c r="F385" s="12">
        <v>34</v>
      </c>
      <c r="G385" s="4" t="s">
        <v>65</v>
      </c>
      <c r="H385" s="13">
        <v>195</v>
      </c>
      <c r="I385" s="14" t="s">
        <v>36</v>
      </c>
      <c r="J385" s="14" t="s">
        <v>18</v>
      </c>
      <c r="K385" s="14">
        <v>41</v>
      </c>
      <c r="L385" s="15">
        <v>60</v>
      </c>
      <c r="M385" s="15">
        <f t="shared" si="5"/>
        <v>2460</v>
      </c>
      <c r="N385" s="14" t="s">
        <v>25</v>
      </c>
    </row>
    <row r="386" spans="1:14" ht="16.5" customHeight="1" x14ac:dyDescent="0.2">
      <c r="A386" s="7">
        <v>385</v>
      </c>
      <c r="B386" s="8" t="s">
        <v>41</v>
      </c>
      <c r="C386" s="9" t="s">
        <v>42</v>
      </c>
      <c r="D386" s="10">
        <v>38342</v>
      </c>
      <c r="E386" s="11">
        <v>2177541098</v>
      </c>
      <c r="F386" s="12">
        <v>34</v>
      </c>
      <c r="G386" s="4" t="s">
        <v>65</v>
      </c>
      <c r="H386" s="13">
        <v>896</v>
      </c>
      <c r="I386" s="14" t="s">
        <v>38</v>
      </c>
      <c r="J386" s="14" t="s">
        <v>18</v>
      </c>
      <c r="K386" s="14">
        <v>15</v>
      </c>
      <c r="L386" s="15">
        <v>15</v>
      </c>
      <c r="M386" s="15">
        <f t="shared" ref="M386:M449" si="6">L386*K386</f>
        <v>225</v>
      </c>
      <c r="N386" s="14" t="s">
        <v>25</v>
      </c>
    </row>
    <row r="387" spans="1:14" ht="16.5" customHeight="1" x14ac:dyDescent="0.2">
      <c r="A387" s="7">
        <v>386</v>
      </c>
      <c r="B387" s="8" t="s">
        <v>41</v>
      </c>
      <c r="C387" s="9" t="s">
        <v>42</v>
      </c>
      <c r="D387" s="10">
        <v>38414</v>
      </c>
      <c r="E387" s="11">
        <v>8306821129</v>
      </c>
      <c r="F387" s="12">
        <v>34</v>
      </c>
      <c r="G387" s="4" t="s">
        <v>65</v>
      </c>
      <c r="H387" s="13">
        <v>195</v>
      </c>
      <c r="I387" s="14" t="s">
        <v>36</v>
      </c>
      <c r="J387" s="14" t="s">
        <v>18</v>
      </c>
      <c r="K387" s="14">
        <v>84</v>
      </c>
      <c r="L387" s="15">
        <v>60</v>
      </c>
      <c r="M387" s="15">
        <f t="shared" si="6"/>
        <v>5040</v>
      </c>
      <c r="N387" s="14" t="s">
        <v>25</v>
      </c>
    </row>
    <row r="388" spans="1:14" ht="16.5" customHeight="1" x14ac:dyDescent="0.2">
      <c r="A388" s="7">
        <v>387</v>
      </c>
      <c r="B388" s="8" t="s">
        <v>41</v>
      </c>
      <c r="C388" s="9" t="s">
        <v>42</v>
      </c>
      <c r="D388" s="10">
        <v>39269</v>
      </c>
      <c r="E388" s="11">
        <v>2177541098</v>
      </c>
      <c r="F388" s="12">
        <v>34</v>
      </c>
      <c r="G388" s="4" t="s">
        <v>65</v>
      </c>
      <c r="H388" s="13">
        <v>896</v>
      </c>
      <c r="I388" s="14" t="s">
        <v>38</v>
      </c>
      <c r="J388" s="14" t="s">
        <v>18</v>
      </c>
      <c r="K388" s="14">
        <v>58</v>
      </c>
      <c r="L388" s="15">
        <v>15</v>
      </c>
      <c r="M388" s="15">
        <f t="shared" si="6"/>
        <v>870</v>
      </c>
      <c r="N388" s="14" t="s">
        <v>25</v>
      </c>
    </row>
    <row r="389" spans="1:14" ht="16.5" customHeight="1" x14ac:dyDescent="0.2">
      <c r="A389" s="7">
        <v>388</v>
      </c>
      <c r="B389" s="8" t="s">
        <v>41</v>
      </c>
      <c r="C389" s="9" t="s">
        <v>42</v>
      </c>
      <c r="D389" s="10">
        <v>39341</v>
      </c>
      <c r="E389" s="11">
        <v>8306821129</v>
      </c>
      <c r="F389" s="12">
        <v>34</v>
      </c>
      <c r="G389" s="4" t="s">
        <v>65</v>
      </c>
      <c r="H389" s="13">
        <v>195</v>
      </c>
      <c r="I389" s="14" t="s">
        <v>36</v>
      </c>
      <c r="J389" s="14" t="s">
        <v>18</v>
      </c>
      <c r="K389" s="14">
        <v>61</v>
      </c>
      <c r="L389" s="15">
        <v>60</v>
      </c>
      <c r="M389" s="15">
        <f t="shared" si="6"/>
        <v>3660</v>
      </c>
      <c r="N389" s="14" t="s">
        <v>25</v>
      </c>
    </row>
    <row r="390" spans="1:14" ht="16.5" customHeight="1" x14ac:dyDescent="0.2">
      <c r="A390" s="7">
        <v>389</v>
      </c>
      <c r="B390" s="8" t="s">
        <v>41</v>
      </c>
      <c r="C390" s="9" t="s">
        <v>42</v>
      </c>
      <c r="D390" s="10">
        <v>40196</v>
      </c>
      <c r="E390" s="11">
        <v>2177541098</v>
      </c>
      <c r="F390" s="12">
        <v>34</v>
      </c>
      <c r="G390" s="4" t="s">
        <v>65</v>
      </c>
      <c r="H390" s="13">
        <v>896</v>
      </c>
      <c r="I390" s="14" t="s">
        <v>38</v>
      </c>
      <c r="J390" s="14" t="s">
        <v>18</v>
      </c>
      <c r="K390" s="14">
        <v>21</v>
      </c>
      <c r="L390" s="15">
        <v>15</v>
      </c>
      <c r="M390" s="15">
        <f t="shared" si="6"/>
        <v>315</v>
      </c>
      <c r="N390" s="14" t="s">
        <v>25</v>
      </c>
    </row>
    <row r="391" spans="1:14" ht="16.5" customHeight="1" x14ac:dyDescent="0.2">
      <c r="A391" s="7">
        <v>390</v>
      </c>
      <c r="B391" s="8" t="s">
        <v>41</v>
      </c>
      <c r="C391" s="9" t="s">
        <v>42</v>
      </c>
      <c r="D391" s="10">
        <v>40268</v>
      </c>
      <c r="E391" s="11">
        <v>8306821129</v>
      </c>
      <c r="F391" s="12">
        <v>34</v>
      </c>
      <c r="G391" s="4" t="s">
        <v>65</v>
      </c>
      <c r="H391" s="13">
        <v>195</v>
      </c>
      <c r="I391" s="14" t="s">
        <v>36</v>
      </c>
      <c r="J391" s="14" t="s">
        <v>18</v>
      </c>
      <c r="K391" s="14">
        <v>66</v>
      </c>
      <c r="L391" s="15">
        <v>60</v>
      </c>
      <c r="M391" s="15">
        <f t="shared" si="6"/>
        <v>3960</v>
      </c>
      <c r="N391" s="14" t="s">
        <v>25</v>
      </c>
    </row>
    <row r="392" spans="1:14" ht="16.5" customHeight="1" x14ac:dyDescent="0.2">
      <c r="A392" s="7">
        <v>391</v>
      </c>
      <c r="B392" s="8" t="s">
        <v>43</v>
      </c>
      <c r="C392" s="9" t="s">
        <v>42</v>
      </c>
      <c r="D392" s="10">
        <v>35255</v>
      </c>
      <c r="E392" s="11">
        <v>1043865388</v>
      </c>
      <c r="F392" s="12">
        <v>34</v>
      </c>
      <c r="G392" s="4" t="s">
        <v>65</v>
      </c>
      <c r="H392" s="13">
        <v>521</v>
      </c>
      <c r="I392" s="14" t="s">
        <v>22</v>
      </c>
      <c r="J392" s="14" t="s">
        <v>23</v>
      </c>
      <c r="K392" s="14">
        <v>39</v>
      </c>
      <c r="L392" s="15">
        <v>30</v>
      </c>
      <c r="M392" s="15">
        <f t="shared" si="6"/>
        <v>1170</v>
      </c>
      <c r="N392" s="14" t="s">
        <v>25</v>
      </c>
    </row>
    <row r="393" spans="1:14" ht="16.5" customHeight="1" x14ac:dyDescent="0.2">
      <c r="A393" s="7">
        <v>392</v>
      </c>
      <c r="B393" s="8" t="s">
        <v>43</v>
      </c>
      <c r="C393" s="9" t="s">
        <v>42</v>
      </c>
      <c r="D393" s="10">
        <v>36182</v>
      </c>
      <c r="E393" s="11">
        <v>1043865388</v>
      </c>
      <c r="F393" s="12">
        <v>24</v>
      </c>
      <c r="G393" s="4" t="s">
        <v>66</v>
      </c>
      <c r="H393" s="13">
        <v>521</v>
      </c>
      <c r="I393" s="14" t="s">
        <v>22</v>
      </c>
      <c r="J393" s="14" t="s">
        <v>23</v>
      </c>
      <c r="K393" s="14">
        <v>73</v>
      </c>
      <c r="L393" s="15">
        <v>30</v>
      </c>
      <c r="M393" s="15">
        <f t="shared" si="6"/>
        <v>2190</v>
      </c>
      <c r="N393" s="14" t="s">
        <v>25</v>
      </c>
    </row>
    <row r="394" spans="1:14" ht="16.5" customHeight="1" x14ac:dyDescent="0.2">
      <c r="A394" s="7">
        <v>393</v>
      </c>
      <c r="B394" s="8" t="s">
        <v>43</v>
      </c>
      <c r="C394" s="9" t="s">
        <v>42</v>
      </c>
      <c r="D394" s="10">
        <v>37109</v>
      </c>
      <c r="E394" s="11">
        <v>1043865388</v>
      </c>
      <c r="F394" s="12">
        <v>24</v>
      </c>
      <c r="G394" s="4" t="s">
        <v>66</v>
      </c>
      <c r="H394" s="13">
        <v>521</v>
      </c>
      <c r="I394" s="14" t="s">
        <v>22</v>
      </c>
      <c r="J394" s="14" t="s">
        <v>23</v>
      </c>
      <c r="K394" s="14">
        <v>57</v>
      </c>
      <c r="L394" s="15">
        <v>30</v>
      </c>
      <c r="M394" s="15">
        <f t="shared" si="6"/>
        <v>1710</v>
      </c>
      <c r="N394" s="14" t="s">
        <v>25</v>
      </c>
    </row>
    <row r="395" spans="1:14" ht="16.5" customHeight="1" x14ac:dyDescent="0.2">
      <c r="A395" s="7">
        <v>394</v>
      </c>
      <c r="B395" s="8" t="s">
        <v>43</v>
      </c>
      <c r="C395" s="9" t="s">
        <v>42</v>
      </c>
      <c r="D395" s="10">
        <v>38036</v>
      </c>
      <c r="E395" s="11">
        <v>1043865388</v>
      </c>
      <c r="F395" s="12">
        <v>24</v>
      </c>
      <c r="G395" s="4" t="s">
        <v>66</v>
      </c>
      <c r="H395" s="13">
        <v>521</v>
      </c>
      <c r="I395" s="14" t="s">
        <v>22</v>
      </c>
      <c r="J395" s="14" t="s">
        <v>23</v>
      </c>
      <c r="K395" s="14">
        <v>84</v>
      </c>
      <c r="L395" s="15">
        <v>30</v>
      </c>
      <c r="M395" s="15">
        <f t="shared" si="6"/>
        <v>2520</v>
      </c>
      <c r="N395" s="14" t="s">
        <v>25</v>
      </c>
    </row>
    <row r="396" spans="1:14" ht="16.5" customHeight="1" x14ac:dyDescent="0.2">
      <c r="A396" s="7">
        <v>395</v>
      </c>
      <c r="B396" s="8" t="s">
        <v>43</v>
      </c>
      <c r="C396" s="9" t="s">
        <v>42</v>
      </c>
      <c r="D396" s="10">
        <v>38963</v>
      </c>
      <c r="E396" s="11">
        <v>1043865388</v>
      </c>
      <c r="F396" s="12">
        <v>24</v>
      </c>
      <c r="G396" s="4" t="s">
        <v>66</v>
      </c>
      <c r="H396" s="13">
        <v>521</v>
      </c>
      <c r="I396" s="14" t="s">
        <v>22</v>
      </c>
      <c r="J396" s="14" t="s">
        <v>23</v>
      </c>
      <c r="K396" s="14">
        <v>93</v>
      </c>
      <c r="L396" s="15">
        <v>30</v>
      </c>
      <c r="M396" s="15">
        <f t="shared" si="6"/>
        <v>2790</v>
      </c>
      <c r="N396" s="14" t="s">
        <v>25</v>
      </c>
    </row>
    <row r="397" spans="1:14" ht="16.5" customHeight="1" x14ac:dyDescent="0.2">
      <c r="A397" s="7">
        <v>396</v>
      </c>
      <c r="B397" s="8" t="s">
        <v>43</v>
      </c>
      <c r="C397" s="9" t="s">
        <v>42</v>
      </c>
      <c r="D397" s="10">
        <v>39890</v>
      </c>
      <c r="E397" s="11">
        <v>1043865388</v>
      </c>
      <c r="F397" s="12">
        <v>24</v>
      </c>
      <c r="G397" s="4" t="s">
        <v>66</v>
      </c>
      <c r="H397" s="13">
        <v>521</v>
      </c>
      <c r="I397" s="14" t="s">
        <v>22</v>
      </c>
      <c r="J397" s="14" t="s">
        <v>23</v>
      </c>
      <c r="K397" s="14">
        <v>86</v>
      </c>
      <c r="L397" s="15">
        <v>30</v>
      </c>
      <c r="M397" s="15">
        <f t="shared" si="6"/>
        <v>2580</v>
      </c>
      <c r="N397" s="14" t="s">
        <v>25</v>
      </c>
    </row>
    <row r="398" spans="1:14" ht="16.5" customHeight="1" x14ac:dyDescent="0.2">
      <c r="A398" s="7">
        <v>397</v>
      </c>
      <c r="B398" s="8" t="s">
        <v>67</v>
      </c>
      <c r="C398" s="9" t="s">
        <v>42</v>
      </c>
      <c r="D398" s="10">
        <v>35453</v>
      </c>
      <c r="E398" s="11">
        <v>5837837052</v>
      </c>
      <c r="F398" s="12">
        <v>24</v>
      </c>
      <c r="G398" s="4" t="s">
        <v>66</v>
      </c>
      <c r="H398" s="13">
        <v>534</v>
      </c>
      <c r="I398" s="14" t="s">
        <v>17</v>
      </c>
      <c r="J398" s="14" t="s">
        <v>18</v>
      </c>
      <c r="K398" s="14">
        <v>48</v>
      </c>
      <c r="L398" s="15">
        <v>25</v>
      </c>
      <c r="M398" s="15">
        <f t="shared" si="6"/>
        <v>1200</v>
      </c>
      <c r="N398" s="16" t="s">
        <v>19</v>
      </c>
    </row>
    <row r="399" spans="1:14" ht="16.5" customHeight="1" x14ac:dyDescent="0.2">
      <c r="A399" s="7">
        <v>398</v>
      </c>
      <c r="B399" s="8" t="s">
        <v>67</v>
      </c>
      <c r="C399" s="9" t="s">
        <v>42</v>
      </c>
      <c r="D399" s="10">
        <v>36380</v>
      </c>
      <c r="E399" s="11">
        <v>5837837052</v>
      </c>
      <c r="F399" s="12">
        <v>24</v>
      </c>
      <c r="G399" s="4" t="s">
        <v>66</v>
      </c>
      <c r="H399" s="13">
        <v>534</v>
      </c>
      <c r="I399" s="14" t="s">
        <v>17</v>
      </c>
      <c r="J399" s="14" t="s">
        <v>18</v>
      </c>
      <c r="K399" s="14">
        <v>22</v>
      </c>
      <c r="L399" s="15">
        <v>25</v>
      </c>
      <c r="M399" s="15">
        <f t="shared" si="6"/>
        <v>550</v>
      </c>
      <c r="N399" s="16" t="s">
        <v>19</v>
      </c>
    </row>
    <row r="400" spans="1:14" ht="16.5" customHeight="1" x14ac:dyDescent="0.2">
      <c r="A400" s="7">
        <v>399</v>
      </c>
      <c r="B400" s="8" t="s">
        <v>67</v>
      </c>
      <c r="C400" s="9" t="s">
        <v>42</v>
      </c>
      <c r="D400" s="10">
        <v>37307</v>
      </c>
      <c r="E400" s="11">
        <v>5837837052</v>
      </c>
      <c r="F400" s="12">
        <v>24</v>
      </c>
      <c r="G400" s="4" t="s">
        <v>66</v>
      </c>
      <c r="H400" s="13">
        <v>534</v>
      </c>
      <c r="I400" s="14" t="s">
        <v>17</v>
      </c>
      <c r="J400" s="14" t="s">
        <v>18</v>
      </c>
      <c r="K400" s="14">
        <v>86</v>
      </c>
      <c r="L400" s="15">
        <v>25</v>
      </c>
      <c r="M400" s="15">
        <f t="shared" si="6"/>
        <v>2150</v>
      </c>
      <c r="N400" s="16" t="s">
        <v>19</v>
      </c>
    </row>
    <row r="401" spans="1:14" ht="16.5" customHeight="1" x14ac:dyDescent="0.2">
      <c r="A401" s="7">
        <v>400</v>
      </c>
      <c r="B401" s="8" t="s">
        <v>67</v>
      </c>
      <c r="C401" s="9" t="s">
        <v>42</v>
      </c>
      <c r="D401" s="10">
        <v>38234</v>
      </c>
      <c r="E401" s="11">
        <v>5837837052</v>
      </c>
      <c r="F401" s="12">
        <v>24</v>
      </c>
      <c r="G401" s="4" t="s">
        <v>66</v>
      </c>
      <c r="H401" s="13">
        <v>534</v>
      </c>
      <c r="I401" s="14" t="s">
        <v>17</v>
      </c>
      <c r="J401" s="14" t="s">
        <v>18</v>
      </c>
      <c r="K401" s="14">
        <v>83</v>
      </c>
      <c r="L401" s="15">
        <v>25</v>
      </c>
      <c r="M401" s="15">
        <f t="shared" si="6"/>
        <v>2075</v>
      </c>
      <c r="N401" s="16" t="s">
        <v>19</v>
      </c>
    </row>
    <row r="402" spans="1:14" ht="16.5" customHeight="1" x14ac:dyDescent="0.2">
      <c r="A402" s="7">
        <v>401</v>
      </c>
      <c r="B402" s="8" t="s">
        <v>67</v>
      </c>
      <c r="C402" s="9" t="s">
        <v>42</v>
      </c>
      <c r="D402" s="10">
        <v>39161</v>
      </c>
      <c r="E402" s="11">
        <v>5837837052</v>
      </c>
      <c r="F402" s="12">
        <v>24</v>
      </c>
      <c r="G402" s="4" t="s">
        <v>66</v>
      </c>
      <c r="H402" s="13">
        <v>534</v>
      </c>
      <c r="I402" s="14" t="s">
        <v>17</v>
      </c>
      <c r="J402" s="14" t="s">
        <v>18</v>
      </c>
      <c r="K402" s="14">
        <v>70</v>
      </c>
      <c r="L402" s="15">
        <v>25</v>
      </c>
      <c r="M402" s="15">
        <f t="shared" si="6"/>
        <v>1750</v>
      </c>
      <c r="N402" s="16" t="s">
        <v>19</v>
      </c>
    </row>
    <row r="403" spans="1:14" ht="16.5" customHeight="1" x14ac:dyDescent="0.2">
      <c r="A403" s="7">
        <v>402</v>
      </c>
      <c r="B403" s="8" t="s">
        <v>67</v>
      </c>
      <c r="C403" s="9" t="s">
        <v>42</v>
      </c>
      <c r="D403" s="10">
        <v>40088</v>
      </c>
      <c r="E403" s="11">
        <v>5837837052</v>
      </c>
      <c r="F403" s="12">
        <v>24</v>
      </c>
      <c r="G403" s="4" t="s">
        <v>66</v>
      </c>
      <c r="H403" s="13">
        <v>534</v>
      </c>
      <c r="I403" s="14" t="s">
        <v>17</v>
      </c>
      <c r="J403" s="14" t="s">
        <v>18</v>
      </c>
      <c r="K403" s="14">
        <v>72</v>
      </c>
      <c r="L403" s="15">
        <v>25</v>
      </c>
      <c r="M403" s="15">
        <f t="shared" si="6"/>
        <v>1800</v>
      </c>
      <c r="N403" s="16" t="s">
        <v>19</v>
      </c>
    </row>
    <row r="404" spans="1:14" ht="16.5" customHeight="1" x14ac:dyDescent="0.2">
      <c r="A404" s="7">
        <v>403</v>
      </c>
      <c r="B404" s="8" t="s">
        <v>68</v>
      </c>
      <c r="C404" s="9" t="s">
        <v>32</v>
      </c>
      <c r="D404" s="10">
        <v>34711</v>
      </c>
      <c r="E404" s="11">
        <v>8525878866</v>
      </c>
      <c r="F404" s="12">
        <v>18</v>
      </c>
      <c r="G404" s="4" t="s">
        <v>69</v>
      </c>
      <c r="H404" s="13">
        <v>702</v>
      </c>
      <c r="I404" s="14" t="s">
        <v>47</v>
      </c>
      <c r="J404" s="14" t="s">
        <v>18</v>
      </c>
      <c r="K404" s="14">
        <v>28</v>
      </c>
      <c r="L404" s="15">
        <v>20</v>
      </c>
      <c r="M404" s="15">
        <f t="shared" si="6"/>
        <v>560</v>
      </c>
      <c r="N404" s="14" t="s">
        <v>30</v>
      </c>
    </row>
    <row r="405" spans="1:14" ht="16.5" customHeight="1" x14ac:dyDescent="0.2">
      <c r="A405" s="7">
        <v>404</v>
      </c>
      <c r="B405" s="8" t="s">
        <v>70</v>
      </c>
      <c r="C405" s="9" t="s">
        <v>32</v>
      </c>
      <c r="D405" s="10">
        <v>34733</v>
      </c>
      <c r="E405" s="11">
        <v>4802672128</v>
      </c>
      <c r="F405" s="12">
        <v>18</v>
      </c>
      <c r="G405" s="4" t="s">
        <v>69</v>
      </c>
      <c r="H405" s="13">
        <v>240</v>
      </c>
      <c r="I405" s="14" t="s">
        <v>17</v>
      </c>
      <c r="J405" s="14" t="s">
        <v>18</v>
      </c>
      <c r="K405" s="14">
        <v>98</v>
      </c>
      <c r="L405" s="15">
        <v>45</v>
      </c>
      <c r="M405" s="15">
        <f t="shared" si="6"/>
        <v>4410</v>
      </c>
      <c r="N405" s="16" t="s">
        <v>19</v>
      </c>
    </row>
    <row r="406" spans="1:14" ht="16.5" customHeight="1" x14ac:dyDescent="0.2">
      <c r="A406" s="7">
        <v>405</v>
      </c>
      <c r="B406" s="8" t="s">
        <v>70</v>
      </c>
      <c r="C406" s="9" t="s">
        <v>32</v>
      </c>
      <c r="D406" s="10">
        <v>34769</v>
      </c>
      <c r="E406" s="11">
        <v>8243172136</v>
      </c>
      <c r="F406" s="12">
        <v>18</v>
      </c>
      <c r="G406" s="4" t="s">
        <v>69</v>
      </c>
      <c r="H406" s="13">
        <v>704</v>
      </c>
      <c r="I406" s="14" t="s">
        <v>36</v>
      </c>
      <c r="J406" s="14" t="s">
        <v>18</v>
      </c>
      <c r="K406" s="14">
        <v>43</v>
      </c>
      <c r="L406" s="15">
        <v>60</v>
      </c>
      <c r="M406" s="15">
        <f t="shared" si="6"/>
        <v>2580</v>
      </c>
      <c r="N406" s="16" t="s">
        <v>19</v>
      </c>
    </row>
    <row r="407" spans="1:14" ht="16.5" customHeight="1" x14ac:dyDescent="0.2">
      <c r="A407" s="7">
        <v>406</v>
      </c>
      <c r="B407" s="8" t="s">
        <v>70</v>
      </c>
      <c r="C407" s="9" t="s">
        <v>32</v>
      </c>
      <c r="D407" s="10">
        <v>35660</v>
      </c>
      <c r="E407" s="11">
        <v>4802672128</v>
      </c>
      <c r="F407" s="12">
        <v>18</v>
      </c>
      <c r="G407" s="4" t="s">
        <v>69</v>
      </c>
      <c r="H407" s="13">
        <v>240</v>
      </c>
      <c r="I407" s="14" t="s">
        <v>17</v>
      </c>
      <c r="J407" s="14" t="s">
        <v>18</v>
      </c>
      <c r="K407" s="14">
        <v>77</v>
      </c>
      <c r="L407" s="15">
        <v>45</v>
      </c>
      <c r="M407" s="15">
        <f t="shared" si="6"/>
        <v>3465</v>
      </c>
      <c r="N407" s="16" t="s">
        <v>19</v>
      </c>
    </row>
    <row r="408" spans="1:14" ht="16.5" customHeight="1" x14ac:dyDescent="0.2">
      <c r="A408" s="7">
        <v>407</v>
      </c>
      <c r="B408" s="8" t="s">
        <v>70</v>
      </c>
      <c r="C408" s="9" t="s">
        <v>32</v>
      </c>
      <c r="D408" s="10">
        <v>35696</v>
      </c>
      <c r="E408" s="11">
        <v>8243172136</v>
      </c>
      <c r="F408" s="12">
        <v>18</v>
      </c>
      <c r="G408" s="4" t="s">
        <v>69</v>
      </c>
      <c r="H408" s="13">
        <v>704</v>
      </c>
      <c r="I408" s="14" t="s">
        <v>36</v>
      </c>
      <c r="J408" s="14" t="s">
        <v>18</v>
      </c>
      <c r="K408" s="14">
        <v>76</v>
      </c>
      <c r="L408" s="15">
        <v>60</v>
      </c>
      <c r="M408" s="15">
        <f t="shared" si="6"/>
        <v>4560</v>
      </c>
      <c r="N408" s="16" t="s">
        <v>19</v>
      </c>
    </row>
    <row r="409" spans="1:14" ht="16.5" customHeight="1" x14ac:dyDescent="0.2">
      <c r="A409" s="7">
        <v>408</v>
      </c>
      <c r="B409" s="8" t="s">
        <v>70</v>
      </c>
      <c r="C409" s="9" t="s">
        <v>32</v>
      </c>
      <c r="D409" s="10">
        <v>36587</v>
      </c>
      <c r="E409" s="11">
        <v>4802672128</v>
      </c>
      <c r="F409" s="12">
        <v>18</v>
      </c>
      <c r="G409" s="4" t="s">
        <v>69</v>
      </c>
      <c r="H409" s="13">
        <v>240</v>
      </c>
      <c r="I409" s="14" t="s">
        <v>17</v>
      </c>
      <c r="J409" s="14" t="s">
        <v>18</v>
      </c>
      <c r="K409" s="14">
        <v>92</v>
      </c>
      <c r="L409" s="15">
        <v>45</v>
      </c>
      <c r="M409" s="15">
        <f t="shared" si="6"/>
        <v>4140</v>
      </c>
      <c r="N409" s="16" t="s">
        <v>19</v>
      </c>
    </row>
    <row r="410" spans="1:14" ht="16.5" customHeight="1" x14ac:dyDescent="0.2">
      <c r="A410" s="7">
        <v>409</v>
      </c>
      <c r="B410" s="8" t="s">
        <v>70</v>
      </c>
      <c r="C410" s="9" t="s">
        <v>32</v>
      </c>
      <c r="D410" s="10">
        <v>36623</v>
      </c>
      <c r="E410" s="11">
        <v>8243172136</v>
      </c>
      <c r="F410" s="12">
        <v>18</v>
      </c>
      <c r="G410" s="4" t="s">
        <v>69</v>
      </c>
      <c r="H410" s="13">
        <v>704</v>
      </c>
      <c r="I410" s="14" t="s">
        <v>36</v>
      </c>
      <c r="J410" s="14" t="s">
        <v>18</v>
      </c>
      <c r="K410" s="14">
        <v>20</v>
      </c>
      <c r="L410" s="15">
        <v>60</v>
      </c>
      <c r="M410" s="15">
        <f t="shared" si="6"/>
        <v>1200</v>
      </c>
      <c r="N410" s="16" t="s">
        <v>19</v>
      </c>
    </row>
    <row r="411" spans="1:14" ht="16.5" customHeight="1" x14ac:dyDescent="0.2">
      <c r="A411" s="7">
        <v>410</v>
      </c>
      <c r="B411" s="8" t="s">
        <v>70</v>
      </c>
      <c r="C411" s="9" t="s">
        <v>32</v>
      </c>
      <c r="D411" s="10">
        <v>37514</v>
      </c>
      <c r="E411" s="11">
        <v>4802672128</v>
      </c>
      <c r="F411" s="12">
        <v>18</v>
      </c>
      <c r="G411" s="4" t="s">
        <v>69</v>
      </c>
      <c r="H411" s="13">
        <v>240</v>
      </c>
      <c r="I411" s="14" t="s">
        <v>17</v>
      </c>
      <c r="J411" s="14" t="s">
        <v>18</v>
      </c>
      <c r="K411" s="14">
        <v>82</v>
      </c>
      <c r="L411" s="15">
        <v>45</v>
      </c>
      <c r="M411" s="15">
        <f t="shared" si="6"/>
        <v>3690</v>
      </c>
      <c r="N411" s="16" t="s">
        <v>19</v>
      </c>
    </row>
    <row r="412" spans="1:14" ht="16.5" customHeight="1" x14ac:dyDescent="0.2">
      <c r="A412" s="7">
        <v>411</v>
      </c>
      <c r="B412" s="8" t="s">
        <v>70</v>
      </c>
      <c r="C412" s="9" t="s">
        <v>32</v>
      </c>
      <c r="D412" s="10">
        <v>37550</v>
      </c>
      <c r="E412" s="11">
        <v>8243172136</v>
      </c>
      <c r="F412" s="12">
        <v>18</v>
      </c>
      <c r="G412" s="4" t="s">
        <v>69</v>
      </c>
      <c r="H412" s="13">
        <v>704</v>
      </c>
      <c r="I412" s="14" t="s">
        <v>36</v>
      </c>
      <c r="J412" s="14" t="s">
        <v>18</v>
      </c>
      <c r="K412" s="14">
        <v>77</v>
      </c>
      <c r="L412" s="15">
        <v>60</v>
      </c>
      <c r="M412" s="15">
        <f t="shared" si="6"/>
        <v>4620</v>
      </c>
      <c r="N412" s="16" t="s">
        <v>19</v>
      </c>
    </row>
    <row r="413" spans="1:14" ht="16.5" customHeight="1" x14ac:dyDescent="0.2">
      <c r="A413" s="7">
        <v>412</v>
      </c>
      <c r="B413" s="8" t="s">
        <v>70</v>
      </c>
      <c r="C413" s="9" t="s">
        <v>32</v>
      </c>
      <c r="D413" s="10">
        <v>38441</v>
      </c>
      <c r="E413" s="11">
        <v>4802672128</v>
      </c>
      <c r="F413" s="12">
        <v>18</v>
      </c>
      <c r="G413" s="4" t="s">
        <v>69</v>
      </c>
      <c r="H413" s="13">
        <v>240</v>
      </c>
      <c r="I413" s="14" t="s">
        <v>17</v>
      </c>
      <c r="J413" s="14" t="s">
        <v>18</v>
      </c>
      <c r="K413" s="14">
        <v>30</v>
      </c>
      <c r="L413" s="15">
        <v>45</v>
      </c>
      <c r="M413" s="15">
        <f t="shared" si="6"/>
        <v>1350</v>
      </c>
      <c r="N413" s="16" t="s">
        <v>19</v>
      </c>
    </row>
    <row r="414" spans="1:14" ht="16.5" customHeight="1" x14ac:dyDescent="0.2">
      <c r="A414" s="7">
        <v>413</v>
      </c>
      <c r="B414" s="8" t="s">
        <v>70</v>
      </c>
      <c r="C414" s="9" t="s">
        <v>32</v>
      </c>
      <c r="D414" s="10">
        <v>38477</v>
      </c>
      <c r="E414" s="11">
        <v>8243172136</v>
      </c>
      <c r="F414" s="12">
        <v>18</v>
      </c>
      <c r="G414" s="4" t="s">
        <v>69</v>
      </c>
      <c r="H414" s="13">
        <v>704</v>
      </c>
      <c r="I414" s="14" t="s">
        <v>36</v>
      </c>
      <c r="J414" s="14" t="s">
        <v>18</v>
      </c>
      <c r="K414" s="14">
        <v>57</v>
      </c>
      <c r="L414" s="15">
        <v>60</v>
      </c>
      <c r="M414" s="15">
        <f t="shared" si="6"/>
        <v>3420</v>
      </c>
      <c r="N414" s="16" t="s">
        <v>19</v>
      </c>
    </row>
    <row r="415" spans="1:14" ht="16.5" customHeight="1" x14ac:dyDescent="0.2">
      <c r="A415" s="7">
        <v>414</v>
      </c>
      <c r="B415" s="8" t="s">
        <v>70</v>
      </c>
      <c r="C415" s="9" t="s">
        <v>32</v>
      </c>
      <c r="D415" s="10">
        <v>39368</v>
      </c>
      <c r="E415" s="11">
        <v>4802672128</v>
      </c>
      <c r="F415" s="12">
        <v>18</v>
      </c>
      <c r="G415" s="4" t="s">
        <v>69</v>
      </c>
      <c r="H415" s="13">
        <v>240</v>
      </c>
      <c r="I415" s="14" t="s">
        <v>17</v>
      </c>
      <c r="J415" s="14" t="s">
        <v>18</v>
      </c>
      <c r="K415" s="14">
        <v>96</v>
      </c>
      <c r="L415" s="15">
        <v>45</v>
      </c>
      <c r="M415" s="15">
        <f t="shared" si="6"/>
        <v>4320</v>
      </c>
      <c r="N415" s="16" t="s">
        <v>19</v>
      </c>
    </row>
    <row r="416" spans="1:14" ht="16.5" customHeight="1" x14ac:dyDescent="0.2">
      <c r="A416" s="7">
        <v>415</v>
      </c>
      <c r="B416" s="8" t="s">
        <v>70</v>
      </c>
      <c r="C416" s="9" t="s">
        <v>32</v>
      </c>
      <c r="D416" s="10">
        <v>39404</v>
      </c>
      <c r="E416" s="11">
        <v>8243172136</v>
      </c>
      <c r="F416" s="12">
        <v>18</v>
      </c>
      <c r="G416" s="4" t="s">
        <v>69</v>
      </c>
      <c r="H416" s="13">
        <v>704</v>
      </c>
      <c r="I416" s="14" t="s">
        <v>36</v>
      </c>
      <c r="J416" s="14" t="s">
        <v>18</v>
      </c>
      <c r="K416" s="14">
        <v>68</v>
      </c>
      <c r="L416" s="15">
        <v>60</v>
      </c>
      <c r="M416" s="15">
        <f t="shared" si="6"/>
        <v>4080</v>
      </c>
      <c r="N416" s="16" t="s">
        <v>19</v>
      </c>
    </row>
    <row r="417" spans="1:14" ht="16.5" customHeight="1" x14ac:dyDescent="0.2">
      <c r="A417" s="7">
        <v>416</v>
      </c>
      <c r="B417" s="8" t="s">
        <v>71</v>
      </c>
      <c r="C417" s="9" t="s">
        <v>32</v>
      </c>
      <c r="D417" s="10">
        <v>35372</v>
      </c>
      <c r="E417" s="11">
        <v>5169753720</v>
      </c>
      <c r="F417" s="12">
        <v>35</v>
      </c>
      <c r="G417" s="4" t="s">
        <v>72</v>
      </c>
      <c r="H417" s="13">
        <v>909</v>
      </c>
      <c r="I417" s="14" t="s">
        <v>24</v>
      </c>
      <c r="J417" s="14" t="s">
        <v>18</v>
      </c>
      <c r="K417" s="14">
        <v>16</v>
      </c>
      <c r="L417" s="15">
        <v>50</v>
      </c>
      <c r="M417" s="15">
        <f t="shared" si="6"/>
        <v>800</v>
      </c>
      <c r="N417" s="14" t="s">
        <v>25</v>
      </c>
    </row>
    <row r="418" spans="1:14" ht="16.5" customHeight="1" x14ac:dyDescent="0.2">
      <c r="A418" s="7">
        <v>417</v>
      </c>
      <c r="B418" s="8" t="s">
        <v>71</v>
      </c>
      <c r="C418" s="9" t="s">
        <v>32</v>
      </c>
      <c r="D418" s="10">
        <v>36299</v>
      </c>
      <c r="E418" s="11">
        <v>5169753720</v>
      </c>
      <c r="F418" s="12">
        <v>35</v>
      </c>
      <c r="G418" s="4" t="s">
        <v>72</v>
      </c>
      <c r="H418" s="13">
        <v>909</v>
      </c>
      <c r="I418" s="14" t="s">
        <v>24</v>
      </c>
      <c r="J418" s="14" t="s">
        <v>18</v>
      </c>
      <c r="K418" s="14">
        <v>55</v>
      </c>
      <c r="L418" s="15">
        <v>50</v>
      </c>
      <c r="M418" s="15">
        <f t="shared" si="6"/>
        <v>2750</v>
      </c>
      <c r="N418" s="14" t="s">
        <v>25</v>
      </c>
    </row>
    <row r="419" spans="1:14" ht="16.5" customHeight="1" x14ac:dyDescent="0.2">
      <c r="A419" s="7">
        <v>418</v>
      </c>
      <c r="B419" s="8" t="s">
        <v>71</v>
      </c>
      <c r="C419" s="9" t="s">
        <v>32</v>
      </c>
      <c r="D419" s="10">
        <v>37226</v>
      </c>
      <c r="E419" s="11">
        <v>5169753720</v>
      </c>
      <c r="F419" s="12">
        <v>35</v>
      </c>
      <c r="G419" s="4" t="s">
        <v>72</v>
      </c>
      <c r="H419" s="13">
        <v>909</v>
      </c>
      <c r="I419" s="14" t="s">
        <v>24</v>
      </c>
      <c r="J419" s="14" t="s">
        <v>18</v>
      </c>
      <c r="K419" s="14">
        <v>61</v>
      </c>
      <c r="L419" s="15">
        <v>50</v>
      </c>
      <c r="M419" s="15">
        <f t="shared" si="6"/>
        <v>3050</v>
      </c>
      <c r="N419" s="14" t="s">
        <v>25</v>
      </c>
    </row>
    <row r="420" spans="1:14" ht="16.5" customHeight="1" x14ac:dyDescent="0.2">
      <c r="A420" s="7">
        <v>419</v>
      </c>
      <c r="B420" s="8" t="s">
        <v>71</v>
      </c>
      <c r="C420" s="9" t="s">
        <v>32</v>
      </c>
      <c r="D420" s="10">
        <v>38153</v>
      </c>
      <c r="E420" s="11">
        <v>5169753720</v>
      </c>
      <c r="F420" s="12">
        <v>35</v>
      </c>
      <c r="G420" s="4" t="s">
        <v>72</v>
      </c>
      <c r="H420" s="13">
        <v>909</v>
      </c>
      <c r="I420" s="14" t="s">
        <v>24</v>
      </c>
      <c r="J420" s="14" t="s">
        <v>18</v>
      </c>
      <c r="K420" s="14">
        <v>11</v>
      </c>
      <c r="L420" s="15">
        <v>50</v>
      </c>
      <c r="M420" s="15">
        <f t="shared" si="6"/>
        <v>550</v>
      </c>
      <c r="N420" s="14" t="s">
        <v>25</v>
      </c>
    </row>
    <row r="421" spans="1:14" ht="16.5" customHeight="1" x14ac:dyDescent="0.2">
      <c r="A421" s="7">
        <v>420</v>
      </c>
      <c r="B421" s="8" t="s">
        <v>71</v>
      </c>
      <c r="C421" s="9" t="s">
        <v>32</v>
      </c>
      <c r="D421" s="10">
        <v>39080</v>
      </c>
      <c r="E421" s="11">
        <v>5169753720</v>
      </c>
      <c r="F421" s="12">
        <v>35</v>
      </c>
      <c r="G421" s="4" t="s">
        <v>72</v>
      </c>
      <c r="H421" s="13">
        <v>909</v>
      </c>
      <c r="I421" s="14" t="s">
        <v>24</v>
      </c>
      <c r="J421" s="14" t="s">
        <v>18</v>
      </c>
      <c r="K421" s="14">
        <v>60</v>
      </c>
      <c r="L421" s="15">
        <v>50</v>
      </c>
      <c r="M421" s="15">
        <f t="shared" si="6"/>
        <v>3000</v>
      </c>
      <c r="N421" s="14" t="s">
        <v>25</v>
      </c>
    </row>
    <row r="422" spans="1:14" ht="16.5" customHeight="1" x14ac:dyDescent="0.2">
      <c r="A422" s="7">
        <v>421</v>
      </c>
      <c r="B422" s="8" t="s">
        <v>71</v>
      </c>
      <c r="C422" s="9" t="s">
        <v>32</v>
      </c>
      <c r="D422" s="10">
        <v>40007</v>
      </c>
      <c r="E422" s="11">
        <v>5169753720</v>
      </c>
      <c r="F422" s="12">
        <v>35</v>
      </c>
      <c r="G422" s="4" t="s">
        <v>72</v>
      </c>
      <c r="H422" s="13">
        <v>909</v>
      </c>
      <c r="I422" s="14" t="s">
        <v>24</v>
      </c>
      <c r="J422" s="14" t="s">
        <v>18</v>
      </c>
      <c r="K422" s="14">
        <v>28</v>
      </c>
      <c r="L422" s="15">
        <v>50</v>
      </c>
      <c r="M422" s="15">
        <f t="shared" si="6"/>
        <v>1400</v>
      </c>
      <c r="N422" s="14" t="s">
        <v>25</v>
      </c>
    </row>
    <row r="423" spans="1:14" ht="16.5" customHeight="1" x14ac:dyDescent="0.2">
      <c r="A423" s="7">
        <v>422</v>
      </c>
      <c r="B423" s="8" t="s">
        <v>41</v>
      </c>
      <c r="C423" s="9" t="s">
        <v>42</v>
      </c>
      <c r="D423" s="10">
        <v>35588</v>
      </c>
      <c r="E423" s="11">
        <v>9942718595</v>
      </c>
      <c r="F423" s="12">
        <v>35</v>
      </c>
      <c r="G423" s="4" t="s">
        <v>72</v>
      </c>
      <c r="H423" s="13">
        <v>240</v>
      </c>
      <c r="I423" s="14" t="s">
        <v>17</v>
      </c>
      <c r="J423" s="14" t="s">
        <v>18</v>
      </c>
      <c r="K423" s="14">
        <v>70</v>
      </c>
      <c r="L423" s="15">
        <v>45</v>
      </c>
      <c r="M423" s="15">
        <f t="shared" si="6"/>
        <v>3150</v>
      </c>
      <c r="N423" s="16" t="s">
        <v>19</v>
      </c>
    </row>
    <row r="424" spans="1:14" ht="16.5" customHeight="1" x14ac:dyDescent="0.2">
      <c r="A424" s="7">
        <v>423</v>
      </c>
      <c r="B424" s="8" t="s">
        <v>41</v>
      </c>
      <c r="C424" s="9" t="s">
        <v>42</v>
      </c>
      <c r="D424" s="10">
        <v>35624</v>
      </c>
      <c r="E424" s="11">
        <v>532970443</v>
      </c>
      <c r="F424" s="12">
        <v>35</v>
      </c>
      <c r="G424" s="4" t="s">
        <v>72</v>
      </c>
      <c r="H424" s="13">
        <v>195</v>
      </c>
      <c r="I424" s="14" t="s">
        <v>36</v>
      </c>
      <c r="J424" s="14" t="s">
        <v>18</v>
      </c>
      <c r="K424" s="14">
        <v>88</v>
      </c>
      <c r="L424" s="15">
        <v>60</v>
      </c>
      <c r="M424" s="15">
        <f t="shared" si="6"/>
        <v>5280</v>
      </c>
      <c r="N424" s="14" t="s">
        <v>25</v>
      </c>
    </row>
    <row r="425" spans="1:14" ht="16.5" customHeight="1" x14ac:dyDescent="0.2">
      <c r="A425" s="7">
        <v>424</v>
      </c>
      <c r="B425" s="8" t="s">
        <v>41</v>
      </c>
      <c r="C425" s="9" t="s">
        <v>42</v>
      </c>
      <c r="D425" s="10">
        <v>36515</v>
      </c>
      <c r="E425" s="11">
        <v>9942718595</v>
      </c>
      <c r="F425" s="12">
        <v>35</v>
      </c>
      <c r="G425" s="4" t="s">
        <v>72</v>
      </c>
      <c r="H425" s="13">
        <v>240</v>
      </c>
      <c r="I425" s="14" t="s">
        <v>17</v>
      </c>
      <c r="J425" s="14" t="s">
        <v>18</v>
      </c>
      <c r="K425" s="14">
        <v>42</v>
      </c>
      <c r="L425" s="15">
        <v>45</v>
      </c>
      <c r="M425" s="15">
        <f t="shared" si="6"/>
        <v>1890</v>
      </c>
      <c r="N425" s="16" t="s">
        <v>19</v>
      </c>
    </row>
    <row r="426" spans="1:14" ht="16.5" customHeight="1" x14ac:dyDescent="0.2">
      <c r="A426" s="7">
        <v>425</v>
      </c>
      <c r="B426" s="8" t="s">
        <v>41</v>
      </c>
      <c r="C426" s="9" t="s">
        <v>42</v>
      </c>
      <c r="D426" s="10">
        <v>36551</v>
      </c>
      <c r="E426" s="11">
        <v>532970443</v>
      </c>
      <c r="F426" s="12">
        <v>35</v>
      </c>
      <c r="G426" s="4" t="s">
        <v>72</v>
      </c>
      <c r="H426" s="13">
        <v>195</v>
      </c>
      <c r="I426" s="14" t="s">
        <v>36</v>
      </c>
      <c r="J426" s="14" t="s">
        <v>18</v>
      </c>
      <c r="K426" s="14">
        <v>94</v>
      </c>
      <c r="L426" s="15">
        <v>60</v>
      </c>
      <c r="M426" s="15">
        <f t="shared" si="6"/>
        <v>5640</v>
      </c>
      <c r="N426" s="14" t="s">
        <v>25</v>
      </c>
    </row>
    <row r="427" spans="1:14" ht="16.5" customHeight="1" x14ac:dyDescent="0.2">
      <c r="A427" s="7">
        <v>426</v>
      </c>
      <c r="B427" s="8" t="s">
        <v>41</v>
      </c>
      <c r="C427" s="9" t="s">
        <v>42</v>
      </c>
      <c r="D427" s="10">
        <v>37442</v>
      </c>
      <c r="E427" s="11">
        <v>9942718595</v>
      </c>
      <c r="F427" s="12">
        <v>35</v>
      </c>
      <c r="G427" s="4" t="s">
        <v>72</v>
      </c>
      <c r="H427" s="13">
        <v>240</v>
      </c>
      <c r="I427" s="14" t="s">
        <v>17</v>
      </c>
      <c r="J427" s="14" t="s">
        <v>18</v>
      </c>
      <c r="K427" s="14">
        <v>98</v>
      </c>
      <c r="L427" s="15">
        <v>45</v>
      </c>
      <c r="M427" s="15">
        <f t="shared" si="6"/>
        <v>4410</v>
      </c>
      <c r="N427" s="16" t="s">
        <v>19</v>
      </c>
    </row>
    <row r="428" spans="1:14" ht="16.5" customHeight="1" x14ac:dyDescent="0.2">
      <c r="A428" s="7">
        <v>427</v>
      </c>
      <c r="B428" s="8" t="s">
        <v>41</v>
      </c>
      <c r="C428" s="9" t="s">
        <v>42</v>
      </c>
      <c r="D428" s="10">
        <v>37478</v>
      </c>
      <c r="E428" s="11">
        <v>532970443</v>
      </c>
      <c r="F428" s="12">
        <v>20</v>
      </c>
      <c r="G428" s="4" t="s">
        <v>73</v>
      </c>
      <c r="H428" s="13">
        <v>195</v>
      </c>
      <c r="I428" s="14" t="s">
        <v>36</v>
      </c>
      <c r="J428" s="14" t="s">
        <v>18</v>
      </c>
      <c r="K428" s="14">
        <v>56</v>
      </c>
      <c r="L428" s="15">
        <v>60</v>
      </c>
      <c r="M428" s="15">
        <f t="shared" si="6"/>
        <v>3360</v>
      </c>
      <c r="N428" s="14" t="s">
        <v>25</v>
      </c>
    </row>
    <row r="429" spans="1:14" ht="16.5" customHeight="1" x14ac:dyDescent="0.2">
      <c r="A429" s="7">
        <v>428</v>
      </c>
      <c r="B429" s="8" t="s">
        <v>41</v>
      </c>
      <c r="C429" s="9" t="s">
        <v>42</v>
      </c>
      <c r="D429" s="10">
        <v>38369</v>
      </c>
      <c r="E429" s="11">
        <v>9942718595</v>
      </c>
      <c r="F429" s="12">
        <v>20</v>
      </c>
      <c r="G429" s="4" t="s">
        <v>73</v>
      </c>
      <c r="H429" s="13">
        <v>240</v>
      </c>
      <c r="I429" s="14" t="s">
        <v>17</v>
      </c>
      <c r="J429" s="14" t="s">
        <v>18</v>
      </c>
      <c r="K429" s="14">
        <v>15</v>
      </c>
      <c r="L429" s="15">
        <v>45</v>
      </c>
      <c r="M429" s="15">
        <f t="shared" si="6"/>
        <v>675</v>
      </c>
      <c r="N429" s="16" t="s">
        <v>19</v>
      </c>
    </row>
    <row r="430" spans="1:14" ht="16.5" customHeight="1" x14ac:dyDescent="0.2">
      <c r="A430" s="7">
        <v>429</v>
      </c>
      <c r="B430" s="8" t="s">
        <v>41</v>
      </c>
      <c r="C430" s="9" t="s">
        <v>42</v>
      </c>
      <c r="D430" s="10">
        <v>38405</v>
      </c>
      <c r="E430" s="11">
        <v>532970443</v>
      </c>
      <c r="F430" s="12">
        <v>20</v>
      </c>
      <c r="G430" s="4" t="s">
        <v>73</v>
      </c>
      <c r="H430" s="13">
        <v>195</v>
      </c>
      <c r="I430" s="14" t="s">
        <v>36</v>
      </c>
      <c r="J430" s="14" t="s">
        <v>18</v>
      </c>
      <c r="K430" s="14">
        <v>38</v>
      </c>
      <c r="L430" s="15">
        <v>60</v>
      </c>
      <c r="M430" s="15">
        <f t="shared" si="6"/>
        <v>2280</v>
      </c>
      <c r="N430" s="14" t="s">
        <v>25</v>
      </c>
    </row>
    <row r="431" spans="1:14" ht="16.5" customHeight="1" x14ac:dyDescent="0.2">
      <c r="A431" s="7">
        <v>430</v>
      </c>
      <c r="B431" s="8" t="s">
        <v>41</v>
      </c>
      <c r="C431" s="9" t="s">
        <v>42</v>
      </c>
      <c r="D431" s="10">
        <v>39296</v>
      </c>
      <c r="E431" s="11">
        <v>9942718595</v>
      </c>
      <c r="F431" s="12">
        <v>20</v>
      </c>
      <c r="G431" s="4" t="s">
        <v>73</v>
      </c>
      <c r="H431" s="13">
        <v>240</v>
      </c>
      <c r="I431" s="14" t="s">
        <v>17</v>
      </c>
      <c r="J431" s="14" t="s">
        <v>18</v>
      </c>
      <c r="K431" s="14">
        <v>19</v>
      </c>
      <c r="L431" s="15">
        <v>45</v>
      </c>
      <c r="M431" s="15">
        <f t="shared" si="6"/>
        <v>855</v>
      </c>
      <c r="N431" s="16" t="s">
        <v>19</v>
      </c>
    </row>
    <row r="432" spans="1:14" ht="16.5" customHeight="1" x14ac:dyDescent="0.2">
      <c r="A432" s="7">
        <v>431</v>
      </c>
      <c r="B432" s="8" t="s">
        <v>41</v>
      </c>
      <c r="C432" s="9" t="s">
        <v>42</v>
      </c>
      <c r="D432" s="10">
        <v>39332</v>
      </c>
      <c r="E432" s="11">
        <v>532970443</v>
      </c>
      <c r="F432" s="12">
        <v>20</v>
      </c>
      <c r="G432" s="4" t="s">
        <v>73</v>
      </c>
      <c r="H432" s="13">
        <v>195</v>
      </c>
      <c r="I432" s="14" t="s">
        <v>36</v>
      </c>
      <c r="J432" s="14" t="s">
        <v>18</v>
      </c>
      <c r="K432" s="14">
        <v>52</v>
      </c>
      <c r="L432" s="15">
        <v>60</v>
      </c>
      <c r="M432" s="15">
        <f t="shared" si="6"/>
        <v>3120</v>
      </c>
      <c r="N432" s="14" t="s">
        <v>25</v>
      </c>
    </row>
    <row r="433" spans="1:14" ht="16.5" customHeight="1" x14ac:dyDescent="0.2">
      <c r="A433" s="7">
        <v>432</v>
      </c>
      <c r="B433" s="8" t="s">
        <v>41</v>
      </c>
      <c r="C433" s="9" t="s">
        <v>42</v>
      </c>
      <c r="D433" s="10">
        <v>40223</v>
      </c>
      <c r="E433" s="11">
        <v>9942718595</v>
      </c>
      <c r="F433" s="12">
        <v>20</v>
      </c>
      <c r="G433" s="4" t="s">
        <v>73</v>
      </c>
      <c r="H433" s="13">
        <v>240</v>
      </c>
      <c r="I433" s="14" t="s">
        <v>17</v>
      </c>
      <c r="J433" s="14" t="s">
        <v>18</v>
      </c>
      <c r="K433" s="14">
        <v>49</v>
      </c>
      <c r="L433" s="15">
        <v>45</v>
      </c>
      <c r="M433" s="15">
        <f t="shared" si="6"/>
        <v>2205</v>
      </c>
      <c r="N433" s="16" t="s">
        <v>19</v>
      </c>
    </row>
    <row r="434" spans="1:14" ht="16.5" customHeight="1" x14ac:dyDescent="0.2">
      <c r="A434" s="7">
        <v>433</v>
      </c>
      <c r="B434" s="8" t="s">
        <v>41</v>
      </c>
      <c r="C434" s="9" t="s">
        <v>42</v>
      </c>
      <c r="D434" s="10">
        <v>40259</v>
      </c>
      <c r="E434" s="11">
        <v>532970443</v>
      </c>
      <c r="F434" s="12">
        <v>20</v>
      </c>
      <c r="G434" s="4" t="s">
        <v>73</v>
      </c>
      <c r="H434" s="13">
        <v>195</v>
      </c>
      <c r="I434" s="14" t="s">
        <v>36</v>
      </c>
      <c r="J434" s="14" t="s">
        <v>18</v>
      </c>
      <c r="K434" s="14">
        <v>12</v>
      </c>
      <c r="L434" s="15">
        <v>60</v>
      </c>
      <c r="M434" s="15">
        <f t="shared" si="6"/>
        <v>720</v>
      </c>
      <c r="N434" s="14" t="s">
        <v>25</v>
      </c>
    </row>
    <row r="435" spans="1:14" ht="16.5" customHeight="1" x14ac:dyDescent="0.2">
      <c r="A435" s="7">
        <v>434</v>
      </c>
      <c r="B435" s="8" t="s">
        <v>43</v>
      </c>
      <c r="C435" s="9" t="s">
        <v>42</v>
      </c>
      <c r="D435" s="10">
        <v>35183</v>
      </c>
      <c r="E435" s="11">
        <v>3665624202</v>
      </c>
      <c r="F435" s="12">
        <v>20</v>
      </c>
      <c r="G435" s="4" t="s">
        <v>73</v>
      </c>
      <c r="H435" s="13">
        <v>353</v>
      </c>
      <c r="I435" s="14" t="s">
        <v>22</v>
      </c>
      <c r="J435" s="14" t="s">
        <v>23</v>
      </c>
      <c r="K435" s="14">
        <v>19</v>
      </c>
      <c r="L435" s="15">
        <v>40</v>
      </c>
      <c r="M435" s="15">
        <f t="shared" si="6"/>
        <v>760</v>
      </c>
      <c r="N435" s="14" t="s">
        <v>30</v>
      </c>
    </row>
    <row r="436" spans="1:14" ht="16.5" customHeight="1" x14ac:dyDescent="0.2">
      <c r="A436" s="7">
        <v>435</v>
      </c>
      <c r="B436" s="8" t="s">
        <v>43</v>
      </c>
      <c r="C436" s="9" t="s">
        <v>42</v>
      </c>
      <c r="D436" s="10">
        <v>35291</v>
      </c>
      <c r="E436" s="11">
        <v>8247971380</v>
      </c>
      <c r="F436" s="12">
        <v>20</v>
      </c>
      <c r="G436" s="4" t="s">
        <v>73</v>
      </c>
      <c r="H436" s="13">
        <v>454</v>
      </c>
      <c r="I436" s="14" t="s">
        <v>38</v>
      </c>
      <c r="J436" s="14" t="s">
        <v>18</v>
      </c>
      <c r="K436" s="14">
        <v>49</v>
      </c>
      <c r="L436" s="15">
        <v>15</v>
      </c>
      <c r="M436" s="15">
        <f t="shared" si="6"/>
        <v>735</v>
      </c>
      <c r="N436" s="16" t="s">
        <v>19</v>
      </c>
    </row>
    <row r="437" spans="1:14" ht="16.5" customHeight="1" x14ac:dyDescent="0.2">
      <c r="A437" s="7">
        <v>436</v>
      </c>
      <c r="B437" s="8" t="s">
        <v>43</v>
      </c>
      <c r="C437" s="9" t="s">
        <v>42</v>
      </c>
      <c r="D437" s="10">
        <v>35309</v>
      </c>
      <c r="E437" s="11">
        <v>4774867535</v>
      </c>
      <c r="F437" s="12">
        <v>20</v>
      </c>
      <c r="G437" s="4" t="s">
        <v>73</v>
      </c>
      <c r="H437" s="13">
        <v>359</v>
      </c>
      <c r="I437" s="14" t="s">
        <v>17</v>
      </c>
      <c r="J437" s="14" t="s">
        <v>18</v>
      </c>
      <c r="K437" s="14">
        <v>58</v>
      </c>
      <c r="L437" s="15">
        <v>25</v>
      </c>
      <c r="M437" s="15">
        <f t="shared" si="6"/>
        <v>1450</v>
      </c>
      <c r="N437" s="14" t="s">
        <v>25</v>
      </c>
    </row>
    <row r="438" spans="1:14" ht="16.5" customHeight="1" x14ac:dyDescent="0.2">
      <c r="A438" s="7">
        <v>437</v>
      </c>
      <c r="B438" s="8" t="s">
        <v>43</v>
      </c>
      <c r="C438" s="9" t="s">
        <v>42</v>
      </c>
      <c r="D438" s="10">
        <v>35318</v>
      </c>
      <c r="E438" s="11">
        <v>5310734203</v>
      </c>
      <c r="F438" s="12">
        <v>20</v>
      </c>
      <c r="G438" s="4" t="s">
        <v>73</v>
      </c>
      <c r="H438" s="13">
        <v>909</v>
      </c>
      <c r="I438" s="14" t="s">
        <v>24</v>
      </c>
      <c r="J438" s="14" t="s">
        <v>18</v>
      </c>
      <c r="K438" s="14">
        <v>24</v>
      </c>
      <c r="L438" s="15">
        <v>50</v>
      </c>
      <c r="M438" s="15">
        <f t="shared" si="6"/>
        <v>1200</v>
      </c>
      <c r="N438" s="14" t="s">
        <v>30</v>
      </c>
    </row>
    <row r="439" spans="1:14" ht="16.5" customHeight="1" x14ac:dyDescent="0.2">
      <c r="A439" s="7">
        <v>438</v>
      </c>
      <c r="B439" s="8" t="s">
        <v>43</v>
      </c>
      <c r="C439" s="9" t="s">
        <v>42</v>
      </c>
      <c r="D439" s="10">
        <v>36110</v>
      </c>
      <c r="E439" s="11">
        <v>3665624202</v>
      </c>
      <c r="F439" s="12">
        <v>20</v>
      </c>
      <c r="G439" s="4" t="s">
        <v>73</v>
      </c>
      <c r="H439" s="13">
        <v>353</v>
      </c>
      <c r="I439" s="14" t="s">
        <v>22</v>
      </c>
      <c r="J439" s="14" t="s">
        <v>23</v>
      </c>
      <c r="K439" s="14">
        <v>71</v>
      </c>
      <c r="L439" s="15">
        <v>40</v>
      </c>
      <c r="M439" s="15">
        <f t="shared" si="6"/>
        <v>2840</v>
      </c>
      <c r="N439" s="14" t="s">
        <v>30</v>
      </c>
    </row>
    <row r="440" spans="1:14" ht="16.5" customHeight="1" x14ac:dyDescent="0.2">
      <c r="A440" s="7">
        <v>439</v>
      </c>
      <c r="B440" s="8" t="s">
        <v>43</v>
      </c>
      <c r="C440" s="9" t="s">
        <v>42</v>
      </c>
      <c r="D440" s="10">
        <v>36218</v>
      </c>
      <c r="E440" s="11">
        <v>8247971380</v>
      </c>
      <c r="F440" s="12">
        <v>20</v>
      </c>
      <c r="G440" s="4" t="s">
        <v>73</v>
      </c>
      <c r="H440" s="13">
        <v>454</v>
      </c>
      <c r="I440" s="14" t="s">
        <v>38</v>
      </c>
      <c r="J440" s="14" t="s">
        <v>18</v>
      </c>
      <c r="K440" s="14">
        <v>93</v>
      </c>
      <c r="L440" s="15">
        <v>15</v>
      </c>
      <c r="M440" s="15">
        <f t="shared" si="6"/>
        <v>1395</v>
      </c>
      <c r="N440" s="16" t="s">
        <v>19</v>
      </c>
    </row>
    <row r="441" spans="1:14" ht="16.5" customHeight="1" x14ac:dyDescent="0.2">
      <c r="A441" s="7">
        <v>440</v>
      </c>
      <c r="B441" s="8" t="s">
        <v>43</v>
      </c>
      <c r="C441" s="9" t="s">
        <v>42</v>
      </c>
      <c r="D441" s="10">
        <v>36236</v>
      </c>
      <c r="E441" s="11">
        <v>4774867535</v>
      </c>
      <c r="F441" s="12">
        <v>20</v>
      </c>
      <c r="G441" s="4" t="s">
        <v>73</v>
      </c>
      <c r="H441" s="13">
        <v>359</v>
      </c>
      <c r="I441" s="14" t="s">
        <v>17</v>
      </c>
      <c r="J441" s="14" t="s">
        <v>18</v>
      </c>
      <c r="K441" s="14">
        <v>69</v>
      </c>
      <c r="L441" s="15">
        <v>25</v>
      </c>
      <c r="M441" s="15">
        <f t="shared" si="6"/>
        <v>1725</v>
      </c>
      <c r="N441" s="14" t="s">
        <v>25</v>
      </c>
    </row>
    <row r="442" spans="1:14" ht="16.5" customHeight="1" x14ac:dyDescent="0.2">
      <c r="A442" s="7">
        <v>441</v>
      </c>
      <c r="B442" s="8" t="s">
        <v>43</v>
      </c>
      <c r="C442" s="9" t="s">
        <v>42</v>
      </c>
      <c r="D442" s="10">
        <v>36245</v>
      </c>
      <c r="E442" s="11">
        <v>5310734203</v>
      </c>
      <c r="F442" s="12">
        <v>20</v>
      </c>
      <c r="G442" s="4" t="s">
        <v>73</v>
      </c>
      <c r="H442" s="13">
        <v>909</v>
      </c>
      <c r="I442" s="14" t="s">
        <v>24</v>
      </c>
      <c r="J442" s="14" t="s">
        <v>18</v>
      </c>
      <c r="K442" s="14">
        <v>57</v>
      </c>
      <c r="L442" s="15">
        <v>50</v>
      </c>
      <c r="M442" s="15">
        <f t="shared" si="6"/>
        <v>2850</v>
      </c>
      <c r="N442" s="14" t="s">
        <v>30</v>
      </c>
    </row>
    <row r="443" spans="1:14" ht="16.5" customHeight="1" x14ac:dyDescent="0.2">
      <c r="A443" s="7">
        <v>442</v>
      </c>
      <c r="B443" s="8" t="s">
        <v>43</v>
      </c>
      <c r="C443" s="9" t="s">
        <v>42</v>
      </c>
      <c r="D443" s="10">
        <v>37037</v>
      </c>
      <c r="E443" s="11">
        <v>3665624202</v>
      </c>
      <c r="F443" s="12">
        <v>20</v>
      </c>
      <c r="G443" s="4" t="s">
        <v>73</v>
      </c>
      <c r="H443" s="13">
        <v>353</v>
      </c>
      <c r="I443" s="14" t="s">
        <v>22</v>
      </c>
      <c r="J443" s="14" t="s">
        <v>23</v>
      </c>
      <c r="K443" s="14">
        <v>48</v>
      </c>
      <c r="L443" s="15">
        <v>40</v>
      </c>
      <c r="M443" s="15">
        <f t="shared" si="6"/>
        <v>1920</v>
      </c>
      <c r="N443" s="14" t="s">
        <v>30</v>
      </c>
    </row>
    <row r="444" spans="1:14" ht="16.5" customHeight="1" x14ac:dyDescent="0.2">
      <c r="A444" s="7">
        <v>443</v>
      </c>
      <c r="B444" s="8" t="s">
        <v>43</v>
      </c>
      <c r="C444" s="9" t="s">
        <v>42</v>
      </c>
      <c r="D444" s="10">
        <v>37145</v>
      </c>
      <c r="E444" s="11">
        <v>8247971380</v>
      </c>
      <c r="F444" s="12">
        <v>20</v>
      </c>
      <c r="G444" s="4" t="s">
        <v>73</v>
      </c>
      <c r="H444" s="13">
        <v>454</v>
      </c>
      <c r="I444" s="14" t="s">
        <v>38</v>
      </c>
      <c r="J444" s="14" t="s">
        <v>18</v>
      </c>
      <c r="K444" s="14">
        <v>12</v>
      </c>
      <c r="L444" s="15">
        <v>15</v>
      </c>
      <c r="M444" s="15">
        <f t="shared" si="6"/>
        <v>180</v>
      </c>
      <c r="N444" s="16" t="s">
        <v>19</v>
      </c>
    </row>
    <row r="445" spans="1:14" ht="16.5" customHeight="1" x14ac:dyDescent="0.2">
      <c r="A445" s="7">
        <v>444</v>
      </c>
      <c r="B445" s="8" t="s">
        <v>43</v>
      </c>
      <c r="C445" s="9" t="s">
        <v>42</v>
      </c>
      <c r="D445" s="10">
        <v>37163</v>
      </c>
      <c r="E445" s="11">
        <v>4774867535</v>
      </c>
      <c r="F445" s="12">
        <v>20</v>
      </c>
      <c r="G445" s="4" t="s">
        <v>73</v>
      </c>
      <c r="H445" s="13">
        <v>359</v>
      </c>
      <c r="I445" s="14" t="s">
        <v>17</v>
      </c>
      <c r="J445" s="14" t="s">
        <v>18</v>
      </c>
      <c r="K445" s="14">
        <v>38</v>
      </c>
      <c r="L445" s="15">
        <v>25</v>
      </c>
      <c r="M445" s="15">
        <f t="shared" si="6"/>
        <v>950</v>
      </c>
      <c r="N445" s="14" t="s">
        <v>25</v>
      </c>
    </row>
    <row r="446" spans="1:14" ht="16.5" customHeight="1" x14ac:dyDescent="0.2">
      <c r="A446" s="7">
        <v>445</v>
      </c>
      <c r="B446" s="8" t="s">
        <v>43</v>
      </c>
      <c r="C446" s="9" t="s">
        <v>42</v>
      </c>
      <c r="D446" s="10">
        <v>37172</v>
      </c>
      <c r="E446" s="11">
        <v>5310734203</v>
      </c>
      <c r="F446" s="12">
        <v>20</v>
      </c>
      <c r="G446" s="4" t="s">
        <v>73</v>
      </c>
      <c r="H446" s="13">
        <v>909</v>
      </c>
      <c r="I446" s="14" t="s">
        <v>24</v>
      </c>
      <c r="J446" s="14" t="s">
        <v>18</v>
      </c>
      <c r="K446" s="14">
        <v>83</v>
      </c>
      <c r="L446" s="15">
        <v>50</v>
      </c>
      <c r="M446" s="15">
        <f t="shared" si="6"/>
        <v>4150</v>
      </c>
      <c r="N446" s="14" t="s">
        <v>30</v>
      </c>
    </row>
    <row r="447" spans="1:14" ht="16.5" customHeight="1" x14ac:dyDescent="0.2">
      <c r="A447" s="7">
        <v>446</v>
      </c>
      <c r="B447" s="8" t="s">
        <v>43</v>
      </c>
      <c r="C447" s="9" t="s">
        <v>42</v>
      </c>
      <c r="D447" s="10">
        <v>37964</v>
      </c>
      <c r="E447" s="11">
        <v>3665624202</v>
      </c>
      <c r="F447" s="12">
        <v>20</v>
      </c>
      <c r="G447" s="4" t="s">
        <v>73</v>
      </c>
      <c r="H447" s="13">
        <v>353</v>
      </c>
      <c r="I447" s="14" t="s">
        <v>22</v>
      </c>
      <c r="J447" s="14" t="s">
        <v>23</v>
      </c>
      <c r="K447" s="14">
        <v>34</v>
      </c>
      <c r="L447" s="15">
        <v>40</v>
      </c>
      <c r="M447" s="15">
        <f t="shared" si="6"/>
        <v>1360</v>
      </c>
      <c r="N447" s="14" t="s">
        <v>30</v>
      </c>
    </row>
    <row r="448" spans="1:14" ht="16.5" customHeight="1" x14ac:dyDescent="0.2">
      <c r="A448" s="7">
        <v>447</v>
      </c>
      <c r="B448" s="8" t="s">
        <v>43</v>
      </c>
      <c r="C448" s="9" t="s">
        <v>42</v>
      </c>
      <c r="D448" s="10">
        <v>38072</v>
      </c>
      <c r="E448" s="11">
        <v>8247971380</v>
      </c>
      <c r="F448" s="12">
        <v>20</v>
      </c>
      <c r="G448" s="4" t="s">
        <v>73</v>
      </c>
      <c r="H448" s="13">
        <v>454</v>
      </c>
      <c r="I448" s="14" t="s">
        <v>38</v>
      </c>
      <c r="J448" s="14" t="s">
        <v>18</v>
      </c>
      <c r="K448" s="14">
        <v>64</v>
      </c>
      <c r="L448" s="15">
        <v>15</v>
      </c>
      <c r="M448" s="15">
        <f t="shared" si="6"/>
        <v>960</v>
      </c>
      <c r="N448" s="16" t="s">
        <v>19</v>
      </c>
    </row>
    <row r="449" spans="1:14" ht="16.5" customHeight="1" x14ac:dyDescent="0.2">
      <c r="A449" s="7">
        <v>448</v>
      </c>
      <c r="B449" s="8" t="s">
        <v>43</v>
      </c>
      <c r="C449" s="9" t="s">
        <v>42</v>
      </c>
      <c r="D449" s="10">
        <v>38090</v>
      </c>
      <c r="E449" s="11">
        <v>4774867535</v>
      </c>
      <c r="F449" s="12">
        <v>20</v>
      </c>
      <c r="G449" s="4" t="s">
        <v>73</v>
      </c>
      <c r="H449" s="13">
        <v>359</v>
      </c>
      <c r="I449" s="14" t="s">
        <v>17</v>
      </c>
      <c r="J449" s="14" t="s">
        <v>18</v>
      </c>
      <c r="K449" s="14">
        <v>36</v>
      </c>
      <c r="L449" s="15">
        <v>25</v>
      </c>
      <c r="M449" s="15">
        <f t="shared" si="6"/>
        <v>900</v>
      </c>
      <c r="N449" s="14" t="s">
        <v>25</v>
      </c>
    </row>
    <row r="450" spans="1:14" ht="16.5" customHeight="1" x14ac:dyDescent="0.2">
      <c r="A450" s="7">
        <v>449</v>
      </c>
      <c r="B450" s="8" t="s">
        <v>43</v>
      </c>
      <c r="C450" s="9" t="s">
        <v>42</v>
      </c>
      <c r="D450" s="10">
        <v>38099</v>
      </c>
      <c r="E450" s="11">
        <v>5310734203</v>
      </c>
      <c r="F450" s="12">
        <v>20</v>
      </c>
      <c r="G450" s="4" t="s">
        <v>73</v>
      </c>
      <c r="H450" s="13">
        <v>909</v>
      </c>
      <c r="I450" s="14" t="s">
        <v>24</v>
      </c>
      <c r="J450" s="14" t="s">
        <v>18</v>
      </c>
      <c r="K450" s="14">
        <v>21</v>
      </c>
      <c r="L450" s="15">
        <v>50</v>
      </c>
      <c r="M450" s="15">
        <f t="shared" ref="M450:M513" si="7">L450*K450</f>
        <v>1050</v>
      </c>
      <c r="N450" s="14" t="s">
        <v>30</v>
      </c>
    </row>
    <row r="451" spans="1:14" ht="16.5" customHeight="1" x14ac:dyDescent="0.2">
      <c r="A451" s="7">
        <v>450</v>
      </c>
      <c r="B451" s="8" t="s">
        <v>43</v>
      </c>
      <c r="C451" s="9" t="s">
        <v>42</v>
      </c>
      <c r="D451" s="10">
        <v>38891</v>
      </c>
      <c r="E451" s="11">
        <v>3665624202</v>
      </c>
      <c r="F451" s="12">
        <v>20</v>
      </c>
      <c r="G451" s="4" t="s">
        <v>73</v>
      </c>
      <c r="H451" s="13">
        <v>353</v>
      </c>
      <c r="I451" s="14" t="s">
        <v>22</v>
      </c>
      <c r="J451" s="14" t="s">
        <v>23</v>
      </c>
      <c r="K451" s="14">
        <v>97</v>
      </c>
      <c r="L451" s="15">
        <v>40</v>
      </c>
      <c r="M451" s="15">
        <f t="shared" si="7"/>
        <v>3880</v>
      </c>
      <c r="N451" s="14" t="s">
        <v>30</v>
      </c>
    </row>
    <row r="452" spans="1:14" ht="16.5" customHeight="1" x14ac:dyDescent="0.2">
      <c r="A452" s="7">
        <v>451</v>
      </c>
      <c r="B452" s="8" t="s">
        <v>43</v>
      </c>
      <c r="C452" s="9" t="s">
        <v>42</v>
      </c>
      <c r="D452" s="10">
        <v>38999</v>
      </c>
      <c r="E452" s="11">
        <v>8247971380</v>
      </c>
      <c r="F452" s="12">
        <v>32</v>
      </c>
      <c r="G452" s="4" t="s">
        <v>74</v>
      </c>
      <c r="H452" s="13">
        <v>454</v>
      </c>
      <c r="I452" s="14" t="s">
        <v>38</v>
      </c>
      <c r="J452" s="14" t="s">
        <v>18</v>
      </c>
      <c r="K452" s="14">
        <v>80</v>
      </c>
      <c r="L452" s="15">
        <v>15</v>
      </c>
      <c r="M452" s="15">
        <f t="shared" si="7"/>
        <v>1200</v>
      </c>
      <c r="N452" s="16" t="s">
        <v>19</v>
      </c>
    </row>
    <row r="453" spans="1:14" ht="16.5" customHeight="1" x14ac:dyDescent="0.2">
      <c r="A453" s="7">
        <v>452</v>
      </c>
      <c r="B453" s="8" t="s">
        <v>43</v>
      </c>
      <c r="C453" s="9" t="s">
        <v>42</v>
      </c>
      <c r="D453" s="10">
        <v>39017</v>
      </c>
      <c r="E453" s="11">
        <v>4774867535</v>
      </c>
      <c r="F453" s="12">
        <v>32</v>
      </c>
      <c r="G453" s="4" t="s">
        <v>74</v>
      </c>
      <c r="H453" s="13">
        <v>359</v>
      </c>
      <c r="I453" s="14" t="s">
        <v>17</v>
      </c>
      <c r="J453" s="14" t="s">
        <v>18</v>
      </c>
      <c r="K453" s="14">
        <v>88</v>
      </c>
      <c r="L453" s="15">
        <v>25</v>
      </c>
      <c r="M453" s="15">
        <f t="shared" si="7"/>
        <v>2200</v>
      </c>
      <c r="N453" s="14" t="s">
        <v>25</v>
      </c>
    </row>
    <row r="454" spans="1:14" ht="16.5" customHeight="1" x14ac:dyDescent="0.2">
      <c r="A454" s="7">
        <v>453</v>
      </c>
      <c r="B454" s="8" t="s">
        <v>43</v>
      </c>
      <c r="C454" s="9" t="s">
        <v>42</v>
      </c>
      <c r="D454" s="10">
        <v>39026</v>
      </c>
      <c r="E454" s="11">
        <v>5310734203</v>
      </c>
      <c r="F454" s="12">
        <v>32</v>
      </c>
      <c r="G454" s="4" t="s">
        <v>74</v>
      </c>
      <c r="H454" s="13">
        <v>909</v>
      </c>
      <c r="I454" s="14" t="s">
        <v>24</v>
      </c>
      <c r="J454" s="14" t="s">
        <v>18</v>
      </c>
      <c r="K454" s="14">
        <v>50</v>
      </c>
      <c r="L454" s="15">
        <v>50</v>
      </c>
      <c r="M454" s="15">
        <f t="shared" si="7"/>
        <v>2500</v>
      </c>
      <c r="N454" s="14" t="s">
        <v>30</v>
      </c>
    </row>
    <row r="455" spans="1:14" ht="16.5" customHeight="1" x14ac:dyDescent="0.2">
      <c r="A455" s="7">
        <v>454</v>
      </c>
      <c r="B455" s="8" t="s">
        <v>43</v>
      </c>
      <c r="C455" s="9" t="s">
        <v>42</v>
      </c>
      <c r="D455" s="10">
        <v>39818</v>
      </c>
      <c r="E455" s="11">
        <v>3665624202</v>
      </c>
      <c r="F455" s="12">
        <v>32</v>
      </c>
      <c r="G455" s="4" t="s">
        <v>74</v>
      </c>
      <c r="H455" s="13">
        <v>353</v>
      </c>
      <c r="I455" s="14" t="s">
        <v>22</v>
      </c>
      <c r="J455" s="14" t="s">
        <v>23</v>
      </c>
      <c r="K455" s="14">
        <v>55</v>
      </c>
      <c r="L455" s="15">
        <v>40</v>
      </c>
      <c r="M455" s="15">
        <f t="shared" si="7"/>
        <v>2200</v>
      </c>
      <c r="N455" s="14" t="s">
        <v>30</v>
      </c>
    </row>
    <row r="456" spans="1:14" ht="16.5" customHeight="1" x14ac:dyDescent="0.2">
      <c r="A456" s="7">
        <v>455</v>
      </c>
      <c r="B456" s="8" t="s">
        <v>43</v>
      </c>
      <c r="C456" s="9" t="s">
        <v>42</v>
      </c>
      <c r="D456" s="10">
        <v>39926</v>
      </c>
      <c r="E456" s="11">
        <v>8247971380</v>
      </c>
      <c r="F456" s="12">
        <v>32</v>
      </c>
      <c r="G456" s="4" t="s">
        <v>74</v>
      </c>
      <c r="H456" s="13">
        <v>454</v>
      </c>
      <c r="I456" s="14" t="s">
        <v>38</v>
      </c>
      <c r="J456" s="14" t="s">
        <v>18</v>
      </c>
      <c r="K456" s="14">
        <v>33</v>
      </c>
      <c r="L456" s="15">
        <v>15</v>
      </c>
      <c r="M456" s="15">
        <f t="shared" si="7"/>
        <v>495</v>
      </c>
      <c r="N456" s="16" t="s">
        <v>19</v>
      </c>
    </row>
    <row r="457" spans="1:14" ht="16.5" customHeight="1" x14ac:dyDescent="0.2">
      <c r="A457" s="7">
        <v>456</v>
      </c>
      <c r="B457" s="8" t="s">
        <v>43</v>
      </c>
      <c r="C457" s="9" t="s">
        <v>42</v>
      </c>
      <c r="D457" s="10">
        <v>39944</v>
      </c>
      <c r="E457" s="11">
        <v>4774867535</v>
      </c>
      <c r="F457" s="12">
        <v>32</v>
      </c>
      <c r="G457" s="4" t="s">
        <v>74</v>
      </c>
      <c r="H457" s="13">
        <v>359</v>
      </c>
      <c r="I457" s="14" t="s">
        <v>17</v>
      </c>
      <c r="J457" s="14" t="s">
        <v>18</v>
      </c>
      <c r="K457" s="14">
        <v>51</v>
      </c>
      <c r="L457" s="15">
        <v>25</v>
      </c>
      <c r="M457" s="15">
        <f t="shared" si="7"/>
        <v>1275</v>
      </c>
      <c r="N457" s="14" t="s">
        <v>25</v>
      </c>
    </row>
    <row r="458" spans="1:14" ht="16.5" customHeight="1" x14ac:dyDescent="0.2">
      <c r="A458" s="7">
        <v>457</v>
      </c>
      <c r="B458" s="8" t="s">
        <v>43</v>
      </c>
      <c r="C458" s="9" t="s">
        <v>42</v>
      </c>
      <c r="D458" s="10">
        <v>39953</v>
      </c>
      <c r="E458" s="11">
        <v>5310734203</v>
      </c>
      <c r="F458" s="12">
        <v>32</v>
      </c>
      <c r="G458" s="4" t="s">
        <v>74</v>
      </c>
      <c r="H458" s="13">
        <v>909</v>
      </c>
      <c r="I458" s="14" t="s">
        <v>24</v>
      </c>
      <c r="J458" s="14" t="s">
        <v>18</v>
      </c>
      <c r="K458" s="14">
        <v>47</v>
      </c>
      <c r="L458" s="15">
        <v>50</v>
      </c>
      <c r="M458" s="15">
        <f t="shared" si="7"/>
        <v>2350</v>
      </c>
      <c r="N458" s="14" t="s">
        <v>30</v>
      </c>
    </row>
    <row r="459" spans="1:14" ht="16.5" customHeight="1" x14ac:dyDescent="0.2">
      <c r="A459" s="7">
        <v>458</v>
      </c>
      <c r="B459" s="8" t="s">
        <v>50</v>
      </c>
      <c r="C459" s="9" t="s">
        <v>42</v>
      </c>
      <c r="D459" s="10">
        <v>34994</v>
      </c>
      <c r="E459" s="11">
        <v>274199699</v>
      </c>
      <c r="F459" s="12">
        <v>32</v>
      </c>
      <c r="G459" s="4" t="s">
        <v>74</v>
      </c>
      <c r="H459" s="13">
        <v>577</v>
      </c>
      <c r="I459" s="14" t="s">
        <v>47</v>
      </c>
      <c r="J459" s="14" t="s">
        <v>18</v>
      </c>
      <c r="K459" s="14">
        <v>13</v>
      </c>
      <c r="L459" s="15">
        <v>40</v>
      </c>
      <c r="M459" s="15">
        <f t="shared" si="7"/>
        <v>520</v>
      </c>
      <c r="N459" s="14" t="s">
        <v>25</v>
      </c>
    </row>
    <row r="460" spans="1:14" ht="16.5" customHeight="1" x14ac:dyDescent="0.2">
      <c r="A460" s="7">
        <v>459</v>
      </c>
      <c r="B460" s="8" t="s">
        <v>50</v>
      </c>
      <c r="C460" s="9" t="s">
        <v>42</v>
      </c>
      <c r="D460" s="10">
        <v>35921</v>
      </c>
      <c r="E460" s="11">
        <v>274199699</v>
      </c>
      <c r="F460" s="12">
        <v>32</v>
      </c>
      <c r="G460" s="4" t="s">
        <v>74</v>
      </c>
      <c r="H460" s="13">
        <v>577</v>
      </c>
      <c r="I460" s="14" t="s">
        <v>47</v>
      </c>
      <c r="J460" s="14" t="s">
        <v>18</v>
      </c>
      <c r="K460" s="14">
        <v>54</v>
      </c>
      <c r="L460" s="15">
        <v>40</v>
      </c>
      <c r="M460" s="15">
        <f t="shared" si="7"/>
        <v>2160</v>
      </c>
      <c r="N460" s="14" t="s">
        <v>25</v>
      </c>
    </row>
    <row r="461" spans="1:14" ht="16.5" customHeight="1" x14ac:dyDescent="0.2">
      <c r="A461" s="7">
        <v>460</v>
      </c>
      <c r="B461" s="8" t="s">
        <v>50</v>
      </c>
      <c r="C461" s="9" t="s">
        <v>42</v>
      </c>
      <c r="D461" s="10">
        <v>36848</v>
      </c>
      <c r="E461" s="11">
        <v>274199699</v>
      </c>
      <c r="F461" s="12">
        <v>32</v>
      </c>
      <c r="G461" s="4" t="s">
        <v>74</v>
      </c>
      <c r="H461" s="13">
        <v>577</v>
      </c>
      <c r="I461" s="14" t="s">
        <v>47</v>
      </c>
      <c r="J461" s="14" t="s">
        <v>18</v>
      </c>
      <c r="K461" s="14">
        <v>63</v>
      </c>
      <c r="L461" s="15">
        <v>40</v>
      </c>
      <c r="M461" s="15">
        <f t="shared" si="7"/>
        <v>2520</v>
      </c>
      <c r="N461" s="14" t="s">
        <v>25</v>
      </c>
    </row>
    <row r="462" spans="1:14" ht="16.5" customHeight="1" x14ac:dyDescent="0.2">
      <c r="A462" s="7">
        <v>461</v>
      </c>
      <c r="B462" s="8" t="s">
        <v>50</v>
      </c>
      <c r="C462" s="9" t="s">
        <v>42</v>
      </c>
      <c r="D462" s="10">
        <v>37775</v>
      </c>
      <c r="E462" s="11">
        <v>274199699</v>
      </c>
      <c r="F462" s="12">
        <v>32</v>
      </c>
      <c r="G462" s="4" t="s">
        <v>74</v>
      </c>
      <c r="H462" s="13">
        <v>577</v>
      </c>
      <c r="I462" s="14" t="s">
        <v>47</v>
      </c>
      <c r="J462" s="14" t="s">
        <v>18</v>
      </c>
      <c r="K462" s="14">
        <v>77</v>
      </c>
      <c r="L462" s="15">
        <v>40</v>
      </c>
      <c r="M462" s="15">
        <f t="shared" si="7"/>
        <v>3080</v>
      </c>
      <c r="N462" s="14" t="s">
        <v>25</v>
      </c>
    </row>
    <row r="463" spans="1:14" ht="16.5" customHeight="1" x14ac:dyDescent="0.2">
      <c r="A463" s="7">
        <v>462</v>
      </c>
      <c r="B463" s="8" t="s">
        <v>50</v>
      </c>
      <c r="C463" s="9" t="s">
        <v>42</v>
      </c>
      <c r="D463" s="10">
        <v>38702</v>
      </c>
      <c r="E463" s="11">
        <v>274199699</v>
      </c>
      <c r="F463" s="12">
        <v>32</v>
      </c>
      <c r="G463" s="4" t="s">
        <v>74</v>
      </c>
      <c r="H463" s="13">
        <v>577</v>
      </c>
      <c r="I463" s="14" t="s">
        <v>47</v>
      </c>
      <c r="J463" s="14" t="s">
        <v>18</v>
      </c>
      <c r="K463" s="14">
        <v>37</v>
      </c>
      <c r="L463" s="15">
        <v>40</v>
      </c>
      <c r="M463" s="15">
        <f t="shared" si="7"/>
        <v>1480</v>
      </c>
      <c r="N463" s="14" t="s">
        <v>25</v>
      </c>
    </row>
    <row r="464" spans="1:14" ht="16.5" customHeight="1" x14ac:dyDescent="0.2">
      <c r="A464" s="7">
        <v>463</v>
      </c>
      <c r="B464" s="8" t="s">
        <v>50</v>
      </c>
      <c r="C464" s="9" t="s">
        <v>42</v>
      </c>
      <c r="D464" s="10">
        <v>39629</v>
      </c>
      <c r="E464" s="11">
        <v>274199699</v>
      </c>
      <c r="F464" s="12">
        <v>32</v>
      </c>
      <c r="G464" s="4" t="s">
        <v>74</v>
      </c>
      <c r="H464" s="13">
        <v>577</v>
      </c>
      <c r="I464" s="14" t="s">
        <v>47</v>
      </c>
      <c r="J464" s="14" t="s">
        <v>18</v>
      </c>
      <c r="K464" s="14">
        <v>44</v>
      </c>
      <c r="L464" s="15">
        <v>40</v>
      </c>
      <c r="M464" s="15">
        <f t="shared" si="7"/>
        <v>1760</v>
      </c>
      <c r="N464" s="14" t="s">
        <v>25</v>
      </c>
    </row>
    <row r="465" spans="1:14" ht="16.5" customHeight="1" x14ac:dyDescent="0.2">
      <c r="A465" s="7">
        <v>464</v>
      </c>
      <c r="B465" s="8" t="s">
        <v>48</v>
      </c>
      <c r="C465" s="9" t="s">
        <v>42</v>
      </c>
      <c r="D465" s="10">
        <v>35498</v>
      </c>
      <c r="E465" s="11">
        <v>6049818802</v>
      </c>
      <c r="F465" s="12">
        <v>32</v>
      </c>
      <c r="G465" s="4" t="s">
        <v>74</v>
      </c>
      <c r="H465" s="13">
        <v>548</v>
      </c>
      <c r="I465" s="14" t="s">
        <v>24</v>
      </c>
      <c r="J465" s="14" t="s">
        <v>18</v>
      </c>
      <c r="K465" s="14">
        <v>92</v>
      </c>
      <c r="L465" s="15">
        <v>90</v>
      </c>
      <c r="M465" s="15">
        <f t="shared" si="7"/>
        <v>8280</v>
      </c>
      <c r="N465" s="16" t="s">
        <v>19</v>
      </c>
    </row>
    <row r="466" spans="1:14" ht="16.5" customHeight="1" x14ac:dyDescent="0.2">
      <c r="A466" s="7">
        <v>465</v>
      </c>
      <c r="B466" s="8" t="s">
        <v>48</v>
      </c>
      <c r="C466" s="9" t="s">
        <v>42</v>
      </c>
      <c r="D466" s="10">
        <v>36425</v>
      </c>
      <c r="E466" s="11">
        <v>6049818802</v>
      </c>
      <c r="F466" s="12">
        <v>32</v>
      </c>
      <c r="G466" s="4" t="s">
        <v>74</v>
      </c>
      <c r="H466" s="13">
        <v>548</v>
      </c>
      <c r="I466" s="14" t="s">
        <v>24</v>
      </c>
      <c r="J466" s="14" t="s">
        <v>18</v>
      </c>
      <c r="K466" s="14">
        <v>30</v>
      </c>
      <c r="L466" s="15">
        <v>90</v>
      </c>
      <c r="M466" s="15">
        <f t="shared" si="7"/>
        <v>2700</v>
      </c>
      <c r="N466" s="16" t="s">
        <v>19</v>
      </c>
    </row>
    <row r="467" spans="1:14" ht="16.5" customHeight="1" x14ac:dyDescent="0.2">
      <c r="A467" s="7">
        <v>466</v>
      </c>
      <c r="B467" s="8" t="s">
        <v>48</v>
      </c>
      <c r="C467" s="9" t="s">
        <v>42</v>
      </c>
      <c r="D467" s="10">
        <v>37352</v>
      </c>
      <c r="E467" s="11">
        <v>6049818802</v>
      </c>
      <c r="F467" s="12">
        <v>32</v>
      </c>
      <c r="G467" s="4" t="s">
        <v>74</v>
      </c>
      <c r="H467" s="13">
        <v>548</v>
      </c>
      <c r="I467" s="14" t="s">
        <v>24</v>
      </c>
      <c r="J467" s="14" t="s">
        <v>18</v>
      </c>
      <c r="K467" s="14">
        <v>69</v>
      </c>
      <c r="L467" s="15">
        <v>90</v>
      </c>
      <c r="M467" s="15">
        <f t="shared" si="7"/>
        <v>6210</v>
      </c>
      <c r="N467" s="16" t="s">
        <v>19</v>
      </c>
    </row>
    <row r="468" spans="1:14" ht="16.5" customHeight="1" x14ac:dyDescent="0.2">
      <c r="A468" s="7">
        <v>467</v>
      </c>
      <c r="B468" s="8" t="s">
        <v>48</v>
      </c>
      <c r="C468" s="9" t="s">
        <v>42</v>
      </c>
      <c r="D468" s="10">
        <v>38279</v>
      </c>
      <c r="E468" s="11">
        <v>6049818802</v>
      </c>
      <c r="F468" s="12">
        <v>32</v>
      </c>
      <c r="G468" s="4" t="s">
        <v>74</v>
      </c>
      <c r="H468" s="13">
        <v>548</v>
      </c>
      <c r="I468" s="14" t="s">
        <v>24</v>
      </c>
      <c r="J468" s="14" t="s">
        <v>18</v>
      </c>
      <c r="K468" s="14">
        <v>24</v>
      </c>
      <c r="L468" s="15">
        <v>90</v>
      </c>
      <c r="M468" s="15">
        <f t="shared" si="7"/>
        <v>2160</v>
      </c>
      <c r="N468" s="16" t="s">
        <v>19</v>
      </c>
    </row>
    <row r="469" spans="1:14" ht="16.5" customHeight="1" x14ac:dyDescent="0.2">
      <c r="A469" s="7">
        <v>468</v>
      </c>
      <c r="B469" s="8" t="s">
        <v>48</v>
      </c>
      <c r="C469" s="9" t="s">
        <v>42</v>
      </c>
      <c r="D469" s="10">
        <v>39206</v>
      </c>
      <c r="E469" s="11">
        <v>6049818802</v>
      </c>
      <c r="F469" s="12">
        <v>20</v>
      </c>
      <c r="G469" s="4" t="s">
        <v>73</v>
      </c>
      <c r="H469" s="13">
        <v>548</v>
      </c>
      <c r="I469" s="14" t="s">
        <v>24</v>
      </c>
      <c r="J469" s="14" t="s">
        <v>18</v>
      </c>
      <c r="K469" s="14">
        <v>31</v>
      </c>
      <c r="L469" s="15">
        <v>90</v>
      </c>
      <c r="M469" s="15">
        <f t="shared" si="7"/>
        <v>2790</v>
      </c>
      <c r="N469" s="16" t="s">
        <v>19</v>
      </c>
    </row>
    <row r="470" spans="1:14" ht="16.5" customHeight="1" x14ac:dyDescent="0.2">
      <c r="A470" s="7">
        <v>469</v>
      </c>
      <c r="B470" s="8" t="s">
        <v>48</v>
      </c>
      <c r="C470" s="9" t="s">
        <v>42</v>
      </c>
      <c r="D470" s="10">
        <v>40133</v>
      </c>
      <c r="E470" s="11">
        <v>6049818802</v>
      </c>
      <c r="F470" s="12">
        <v>20</v>
      </c>
      <c r="G470" s="4" t="s">
        <v>73</v>
      </c>
      <c r="H470" s="13">
        <v>548</v>
      </c>
      <c r="I470" s="14" t="s">
        <v>24</v>
      </c>
      <c r="J470" s="14" t="s">
        <v>18</v>
      </c>
      <c r="K470" s="14">
        <v>34</v>
      </c>
      <c r="L470" s="15">
        <v>90</v>
      </c>
      <c r="M470" s="15">
        <f t="shared" si="7"/>
        <v>3060</v>
      </c>
      <c r="N470" s="16" t="s">
        <v>19</v>
      </c>
    </row>
    <row r="471" spans="1:14" ht="16.5" customHeight="1" x14ac:dyDescent="0.2">
      <c r="A471" s="7">
        <v>470</v>
      </c>
      <c r="B471" s="8" t="s">
        <v>67</v>
      </c>
      <c r="C471" s="9" t="s">
        <v>42</v>
      </c>
      <c r="D471" s="10">
        <v>35444</v>
      </c>
      <c r="E471" s="11">
        <v>9552592145</v>
      </c>
      <c r="F471" s="12">
        <v>20</v>
      </c>
      <c r="G471" s="4" t="s">
        <v>73</v>
      </c>
      <c r="H471" s="13">
        <v>896</v>
      </c>
      <c r="I471" s="14" t="s">
        <v>38</v>
      </c>
      <c r="J471" s="14" t="s">
        <v>18</v>
      </c>
      <c r="K471" s="14">
        <v>26</v>
      </c>
      <c r="L471" s="15">
        <v>15</v>
      </c>
      <c r="M471" s="15">
        <f t="shared" si="7"/>
        <v>390</v>
      </c>
      <c r="N471" s="14" t="s">
        <v>25</v>
      </c>
    </row>
    <row r="472" spans="1:14" ht="16.5" customHeight="1" x14ac:dyDescent="0.2">
      <c r="A472" s="7">
        <v>471</v>
      </c>
      <c r="B472" s="8" t="s">
        <v>67</v>
      </c>
      <c r="C472" s="9" t="s">
        <v>42</v>
      </c>
      <c r="D472" s="10">
        <v>36371</v>
      </c>
      <c r="E472" s="11">
        <v>9552592145</v>
      </c>
      <c r="F472" s="12">
        <v>20</v>
      </c>
      <c r="G472" s="4" t="s">
        <v>73</v>
      </c>
      <c r="H472" s="13">
        <v>896</v>
      </c>
      <c r="I472" s="14" t="s">
        <v>38</v>
      </c>
      <c r="J472" s="14" t="s">
        <v>18</v>
      </c>
      <c r="K472" s="14">
        <v>86</v>
      </c>
      <c r="L472" s="15">
        <v>15</v>
      </c>
      <c r="M472" s="15">
        <f t="shared" si="7"/>
        <v>1290</v>
      </c>
      <c r="N472" s="14" t="s">
        <v>25</v>
      </c>
    </row>
    <row r="473" spans="1:14" ht="16.5" customHeight="1" x14ac:dyDescent="0.2">
      <c r="A473" s="7">
        <v>472</v>
      </c>
      <c r="B473" s="8" t="s">
        <v>67</v>
      </c>
      <c r="C473" s="9" t="s">
        <v>42</v>
      </c>
      <c r="D473" s="10">
        <v>37298</v>
      </c>
      <c r="E473" s="11">
        <v>9552592145</v>
      </c>
      <c r="F473" s="12">
        <v>20</v>
      </c>
      <c r="G473" s="4" t="s">
        <v>73</v>
      </c>
      <c r="H473" s="13">
        <v>896</v>
      </c>
      <c r="I473" s="14" t="s">
        <v>38</v>
      </c>
      <c r="J473" s="14" t="s">
        <v>18</v>
      </c>
      <c r="K473" s="14">
        <v>93</v>
      </c>
      <c r="L473" s="15">
        <v>15</v>
      </c>
      <c r="M473" s="15">
        <f t="shared" si="7"/>
        <v>1395</v>
      </c>
      <c r="N473" s="14" t="s">
        <v>25</v>
      </c>
    </row>
    <row r="474" spans="1:14" ht="16.5" customHeight="1" x14ac:dyDescent="0.2">
      <c r="A474" s="7">
        <v>473</v>
      </c>
      <c r="B474" s="8" t="s">
        <v>67</v>
      </c>
      <c r="C474" s="9" t="s">
        <v>42</v>
      </c>
      <c r="D474" s="10">
        <v>38225</v>
      </c>
      <c r="E474" s="11">
        <v>9552592145</v>
      </c>
      <c r="F474" s="12">
        <v>20</v>
      </c>
      <c r="G474" s="4" t="s">
        <v>73</v>
      </c>
      <c r="H474" s="13">
        <v>896</v>
      </c>
      <c r="I474" s="14" t="s">
        <v>38</v>
      </c>
      <c r="J474" s="14" t="s">
        <v>18</v>
      </c>
      <c r="K474" s="14">
        <v>40</v>
      </c>
      <c r="L474" s="15">
        <v>15</v>
      </c>
      <c r="M474" s="15">
        <f t="shared" si="7"/>
        <v>600</v>
      </c>
      <c r="N474" s="14" t="s">
        <v>25</v>
      </c>
    </row>
    <row r="475" spans="1:14" ht="16.5" customHeight="1" x14ac:dyDescent="0.2">
      <c r="A475" s="7">
        <v>474</v>
      </c>
      <c r="B475" s="8" t="s">
        <v>67</v>
      </c>
      <c r="C475" s="9" t="s">
        <v>42</v>
      </c>
      <c r="D475" s="10">
        <v>39152</v>
      </c>
      <c r="E475" s="11">
        <v>9552592145</v>
      </c>
      <c r="F475" s="12">
        <v>20</v>
      </c>
      <c r="G475" s="4" t="s">
        <v>73</v>
      </c>
      <c r="H475" s="13">
        <v>896</v>
      </c>
      <c r="I475" s="14" t="s">
        <v>38</v>
      </c>
      <c r="J475" s="14" t="s">
        <v>18</v>
      </c>
      <c r="K475" s="14">
        <v>34</v>
      </c>
      <c r="L475" s="15">
        <v>15</v>
      </c>
      <c r="M475" s="15">
        <f t="shared" si="7"/>
        <v>510</v>
      </c>
      <c r="N475" s="14" t="s">
        <v>25</v>
      </c>
    </row>
    <row r="476" spans="1:14" ht="16.5" customHeight="1" x14ac:dyDescent="0.2">
      <c r="A476" s="7">
        <v>475</v>
      </c>
      <c r="B476" s="8" t="s">
        <v>67</v>
      </c>
      <c r="C476" s="9" t="s">
        <v>42</v>
      </c>
      <c r="D476" s="10">
        <v>40079</v>
      </c>
      <c r="E476" s="11">
        <v>9552592145</v>
      </c>
      <c r="F476" s="12">
        <v>20</v>
      </c>
      <c r="G476" s="4" t="s">
        <v>73</v>
      </c>
      <c r="H476" s="13">
        <v>896</v>
      </c>
      <c r="I476" s="14" t="s">
        <v>38</v>
      </c>
      <c r="J476" s="14" t="s">
        <v>18</v>
      </c>
      <c r="K476" s="14">
        <v>18</v>
      </c>
      <c r="L476" s="15">
        <v>15</v>
      </c>
      <c r="M476" s="15">
        <f t="shared" si="7"/>
        <v>270</v>
      </c>
      <c r="N476" s="14" t="s">
        <v>25</v>
      </c>
    </row>
    <row r="477" spans="1:14" ht="16.5" customHeight="1" x14ac:dyDescent="0.2">
      <c r="A477" s="7">
        <v>476</v>
      </c>
      <c r="B477" s="8" t="s">
        <v>52</v>
      </c>
      <c r="C477" s="9" t="s">
        <v>42</v>
      </c>
      <c r="D477" s="10">
        <v>34877</v>
      </c>
      <c r="E477" s="11">
        <v>3814457118</v>
      </c>
      <c r="F477" s="12">
        <v>20</v>
      </c>
      <c r="G477" s="4" t="s">
        <v>73</v>
      </c>
      <c r="H477" s="13">
        <v>704</v>
      </c>
      <c r="I477" s="14" t="s">
        <v>36</v>
      </c>
      <c r="J477" s="14" t="s">
        <v>18</v>
      </c>
      <c r="K477" s="14">
        <v>18</v>
      </c>
      <c r="L477" s="15">
        <v>60</v>
      </c>
      <c r="M477" s="15">
        <f t="shared" si="7"/>
        <v>1080</v>
      </c>
      <c r="N477" s="14" t="s">
        <v>30</v>
      </c>
    </row>
    <row r="478" spans="1:14" ht="16.5" customHeight="1" x14ac:dyDescent="0.2">
      <c r="A478" s="7">
        <v>477</v>
      </c>
      <c r="B478" s="8" t="s">
        <v>52</v>
      </c>
      <c r="C478" s="9" t="s">
        <v>42</v>
      </c>
      <c r="D478" s="10">
        <v>34895</v>
      </c>
      <c r="E478" s="11">
        <v>6654060629</v>
      </c>
      <c r="F478" s="12">
        <v>20</v>
      </c>
      <c r="G478" s="4" t="s">
        <v>73</v>
      </c>
      <c r="H478" s="13">
        <v>353</v>
      </c>
      <c r="I478" s="14" t="s">
        <v>22</v>
      </c>
      <c r="J478" s="14" t="s">
        <v>23</v>
      </c>
      <c r="K478" s="14">
        <v>75</v>
      </c>
      <c r="L478" s="15">
        <v>40</v>
      </c>
      <c r="M478" s="15">
        <f t="shared" si="7"/>
        <v>3000</v>
      </c>
      <c r="N478" s="16" t="s">
        <v>19</v>
      </c>
    </row>
    <row r="479" spans="1:14" ht="16.5" customHeight="1" x14ac:dyDescent="0.2">
      <c r="A479" s="7">
        <v>478</v>
      </c>
      <c r="B479" s="8" t="s">
        <v>52</v>
      </c>
      <c r="C479" s="9" t="s">
        <v>42</v>
      </c>
      <c r="D479" s="10">
        <v>35804</v>
      </c>
      <c r="E479" s="11">
        <v>3814457118</v>
      </c>
      <c r="F479" s="12">
        <v>20</v>
      </c>
      <c r="G479" s="4" t="s">
        <v>73</v>
      </c>
      <c r="H479" s="13">
        <v>704</v>
      </c>
      <c r="I479" s="14" t="s">
        <v>36</v>
      </c>
      <c r="J479" s="14" t="s">
        <v>18</v>
      </c>
      <c r="K479" s="14">
        <v>72</v>
      </c>
      <c r="L479" s="15">
        <v>60</v>
      </c>
      <c r="M479" s="15">
        <f t="shared" si="7"/>
        <v>4320</v>
      </c>
      <c r="N479" s="14" t="s">
        <v>30</v>
      </c>
    </row>
    <row r="480" spans="1:14" ht="16.5" customHeight="1" x14ac:dyDescent="0.2">
      <c r="A480" s="7">
        <v>479</v>
      </c>
      <c r="B480" s="8" t="s">
        <v>52</v>
      </c>
      <c r="C480" s="9" t="s">
        <v>42</v>
      </c>
      <c r="D480" s="10">
        <v>35822</v>
      </c>
      <c r="E480" s="11">
        <v>6654060629</v>
      </c>
      <c r="F480" s="12">
        <v>20</v>
      </c>
      <c r="G480" s="4" t="s">
        <v>73</v>
      </c>
      <c r="H480" s="13">
        <v>353</v>
      </c>
      <c r="I480" s="14" t="s">
        <v>22</v>
      </c>
      <c r="J480" s="14" t="s">
        <v>23</v>
      </c>
      <c r="K480" s="14">
        <v>83</v>
      </c>
      <c r="L480" s="15">
        <v>40</v>
      </c>
      <c r="M480" s="15">
        <f t="shared" si="7"/>
        <v>3320</v>
      </c>
      <c r="N480" s="16" t="s">
        <v>19</v>
      </c>
    </row>
    <row r="481" spans="1:14" ht="16.5" customHeight="1" x14ac:dyDescent="0.2">
      <c r="A481" s="7">
        <v>480</v>
      </c>
      <c r="B481" s="8" t="s">
        <v>52</v>
      </c>
      <c r="C481" s="9" t="s">
        <v>42</v>
      </c>
      <c r="D481" s="10">
        <v>36731</v>
      </c>
      <c r="E481" s="11">
        <v>3814457118</v>
      </c>
      <c r="F481" s="12">
        <v>20</v>
      </c>
      <c r="G481" s="4" t="s">
        <v>73</v>
      </c>
      <c r="H481" s="13">
        <v>704</v>
      </c>
      <c r="I481" s="14" t="s">
        <v>36</v>
      </c>
      <c r="J481" s="14" t="s">
        <v>18</v>
      </c>
      <c r="K481" s="14">
        <v>42</v>
      </c>
      <c r="L481" s="15">
        <v>60</v>
      </c>
      <c r="M481" s="15">
        <f t="shared" si="7"/>
        <v>2520</v>
      </c>
      <c r="N481" s="14" t="s">
        <v>30</v>
      </c>
    </row>
    <row r="482" spans="1:14" ht="16.5" customHeight="1" x14ac:dyDescent="0.2">
      <c r="A482" s="7">
        <v>481</v>
      </c>
      <c r="B482" s="8" t="s">
        <v>52</v>
      </c>
      <c r="C482" s="9" t="s">
        <v>42</v>
      </c>
      <c r="D482" s="10">
        <v>36749</v>
      </c>
      <c r="E482" s="11">
        <v>6654060629</v>
      </c>
      <c r="F482" s="12">
        <v>33</v>
      </c>
      <c r="G482" s="4" t="s">
        <v>75</v>
      </c>
      <c r="H482" s="13">
        <v>353</v>
      </c>
      <c r="I482" s="14" t="s">
        <v>22</v>
      </c>
      <c r="J482" s="14" t="s">
        <v>23</v>
      </c>
      <c r="K482" s="14">
        <v>87</v>
      </c>
      <c r="L482" s="15">
        <v>40</v>
      </c>
      <c r="M482" s="15">
        <f t="shared" si="7"/>
        <v>3480</v>
      </c>
      <c r="N482" s="16" t="s">
        <v>19</v>
      </c>
    </row>
    <row r="483" spans="1:14" ht="16.5" customHeight="1" x14ac:dyDescent="0.2">
      <c r="A483" s="7">
        <v>482</v>
      </c>
      <c r="B483" s="8" t="s">
        <v>52</v>
      </c>
      <c r="C483" s="9" t="s">
        <v>42</v>
      </c>
      <c r="D483" s="10">
        <v>37658</v>
      </c>
      <c r="E483" s="11">
        <v>3814457118</v>
      </c>
      <c r="F483" s="12">
        <v>33</v>
      </c>
      <c r="G483" s="4" t="s">
        <v>75</v>
      </c>
      <c r="H483" s="13">
        <v>704</v>
      </c>
      <c r="I483" s="14" t="s">
        <v>36</v>
      </c>
      <c r="J483" s="14" t="s">
        <v>18</v>
      </c>
      <c r="K483" s="14">
        <v>61</v>
      </c>
      <c r="L483" s="15">
        <v>60</v>
      </c>
      <c r="M483" s="15">
        <f t="shared" si="7"/>
        <v>3660</v>
      </c>
      <c r="N483" s="14" t="s">
        <v>30</v>
      </c>
    </row>
    <row r="484" spans="1:14" ht="16.5" customHeight="1" x14ac:dyDescent="0.2">
      <c r="A484" s="7">
        <v>483</v>
      </c>
      <c r="B484" s="8" t="s">
        <v>52</v>
      </c>
      <c r="C484" s="9" t="s">
        <v>42</v>
      </c>
      <c r="D484" s="10">
        <v>37676</v>
      </c>
      <c r="E484" s="11">
        <v>6654060629</v>
      </c>
      <c r="F484" s="12">
        <v>33</v>
      </c>
      <c r="G484" s="4" t="s">
        <v>75</v>
      </c>
      <c r="H484" s="13">
        <v>353</v>
      </c>
      <c r="I484" s="14" t="s">
        <v>22</v>
      </c>
      <c r="J484" s="14" t="s">
        <v>23</v>
      </c>
      <c r="K484" s="14">
        <v>77</v>
      </c>
      <c r="L484" s="15">
        <v>40</v>
      </c>
      <c r="M484" s="15">
        <f t="shared" si="7"/>
        <v>3080</v>
      </c>
      <c r="N484" s="16" t="s">
        <v>19</v>
      </c>
    </row>
    <row r="485" spans="1:14" ht="16.5" customHeight="1" x14ac:dyDescent="0.2">
      <c r="A485" s="7">
        <v>484</v>
      </c>
      <c r="B485" s="8" t="s">
        <v>52</v>
      </c>
      <c r="C485" s="9" t="s">
        <v>42</v>
      </c>
      <c r="D485" s="10">
        <v>38585</v>
      </c>
      <c r="E485" s="11">
        <v>3814457118</v>
      </c>
      <c r="F485" s="12">
        <v>33</v>
      </c>
      <c r="G485" s="4" t="s">
        <v>75</v>
      </c>
      <c r="H485" s="13">
        <v>704</v>
      </c>
      <c r="I485" s="14" t="s">
        <v>36</v>
      </c>
      <c r="J485" s="14" t="s">
        <v>18</v>
      </c>
      <c r="K485" s="14">
        <v>62</v>
      </c>
      <c r="L485" s="15">
        <v>60</v>
      </c>
      <c r="M485" s="15">
        <f t="shared" si="7"/>
        <v>3720</v>
      </c>
      <c r="N485" s="14" t="s">
        <v>30</v>
      </c>
    </row>
    <row r="486" spans="1:14" ht="16.5" customHeight="1" x14ac:dyDescent="0.2">
      <c r="A486" s="7">
        <v>485</v>
      </c>
      <c r="B486" s="8" t="s">
        <v>52</v>
      </c>
      <c r="C486" s="9" t="s">
        <v>42</v>
      </c>
      <c r="D486" s="10">
        <v>38603</v>
      </c>
      <c r="E486" s="11">
        <v>6654060629</v>
      </c>
      <c r="F486" s="12">
        <v>33</v>
      </c>
      <c r="G486" s="4" t="s">
        <v>75</v>
      </c>
      <c r="H486" s="13">
        <v>353</v>
      </c>
      <c r="I486" s="14" t="s">
        <v>22</v>
      </c>
      <c r="J486" s="14" t="s">
        <v>23</v>
      </c>
      <c r="K486" s="14">
        <v>22</v>
      </c>
      <c r="L486" s="15">
        <v>40</v>
      </c>
      <c r="M486" s="15">
        <f t="shared" si="7"/>
        <v>880</v>
      </c>
      <c r="N486" s="16" t="s">
        <v>19</v>
      </c>
    </row>
    <row r="487" spans="1:14" ht="16.5" customHeight="1" x14ac:dyDescent="0.2">
      <c r="A487" s="7">
        <v>486</v>
      </c>
      <c r="B487" s="8" t="s">
        <v>52</v>
      </c>
      <c r="C487" s="9" t="s">
        <v>42</v>
      </c>
      <c r="D487" s="10">
        <v>39512</v>
      </c>
      <c r="E487" s="11">
        <v>3814457118</v>
      </c>
      <c r="F487" s="12">
        <v>33</v>
      </c>
      <c r="G487" s="4" t="s">
        <v>75</v>
      </c>
      <c r="H487" s="13">
        <v>704</v>
      </c>
      <c r="I487" s="14" t="s">
        <v>36</v>
      </c>
      <c r="J487" s="14" t="s">
        <v>18</v>
      </c>
      <c r="K487" s="14">
        <v>64</v>
      </c>
      <c r="L487" s="15">
        <v>60</v>
      </c>
      <c r="M487" s="15">
        <f t="shared" si="7"/>
        <v>3840</v>
      </c>
      <c r="N487" s="14" t="s">
        <v>30</v>
      </c>
    </row>
    <row r="488" spans="1:14" ht="16.5" customHeight="1" x14ac:dyDescent="0.2">
      <c r="A488" s="7">
        <v>487</v>
      </c>
      <c r="B488" s="8" t="s">
        <v>52</v>
      </c>
      <c r="C488" s="9" t="s">
        <v>42</v>
      </c>
      <c r="D488" s="10">
        <v>39530</v>
      </c>
      <c r="E488" s="11">
        <v>6654060629</v>
      </c>
      <c r="F488" s="12">
        <v>33</v>
      </c>
      <c r="G488" s="4" t="s">
        <v>75</v>
      </c>
      <c r="H488" s="13">
        <v>353</v>
      </c>
      <c r="I488" s="14" t="s">
        <v>22</v>
      </c>
      <c r="J488" s="14" t="s">
        <v>23</v>
      </c>
      <c r="K488" s="14">
        <v>68</v>
      </c>
      <c r="L488" s="15">
        <v>40</v>
      </c>
      <c r="M488" s="15">
        <f t="shared" si="7"/>
        <v>2720</v>
      </c>
      <c r="N488" s="16" t="s">
        <v>19</v>
      </c>
    </row>
    <row r="489" spans="1:14" ht="16.5" customHeight="1" x14ac:dyDescent="0.2">
      <c r="A489" s="7">
        <v>488</v>
      </c>
      <c r="B489" s="8" t="s">
        <v>70</v>
      </c>
      <c r="C489" s="9" t="s">
        <v>32</v>
      </c>
      <c r="D489" s="10">
        <v>34751</v>
      </c>
      <c r="E489" s="11">
        <v>7979219034</v>
      </c>
      <c r="F489" s="12">
        <v>33</v>
      </c>
      <c r="G489" s="4" t="s">
        <v>75</v>
      </c>
      <c r="H489" s="13">
        <v>521</v>
      </c>
      <c r="I489" s="14" t="s">
        <v>22</v>
      </c>
      <c r="J489" s="14" t="s">
        <v>23</v>
      </c>
      <c r="K489" s="14">
        <v>35</v>
      </c>
      <c r="L489" s="15">
        <v>30</v>
      </c>
      <c r="M489" s="15">
        <f t="shared" si="7"/>
        <v>1050</v>
      </c>
      <c r="N489" s="16" t="s">
        <v>19</v>
      </c>
    </row>
    <row r="490" spans="1:14" ht="16.5" customHeight="1" x14ac:dyDescent="0.2">
      <c r="A490" s="7">
        <v>489</v>
      </c>
      <c r="B490" s="8" t="s">
        <v>70</v>
      </c>
      <c r="C490" s="9" t="s">
        <v>32</v>
      </c>
      <c r="D490" s="10">
        <v>35678</v>
      </c>
      <c r="E490" s="11">
        <v>7979219034</v>
      </c>
      <c r="F490" s="12">
        <v>33</v>
      </c>
      <c r="G490" s="4" t="s">
        <v>75</v>
      </c>
      <c r="H490" s="13">
        <v>521</v>
      </c>
      <c r="I490" s="14" t="s">
        <v>22</v>
      </c>
      <c r="J490" s="14" t="s">
        <v>23</v>
      </c>
      <c r="K490" s="14">
        <v>79</v>
      </c>
      <c r="L490" s="15">
        <v>30</v>
      </c>
      <c r="M490" s="15">
        <f t="shared" si="7"/>
        <v>2370</v>
      </c>
      <c r="N490" s="16" t="s">
        <v>19</v>
      </c>
    </row>
    <row r="491" spans="1:14" ht="16.5" customHeight="1" x14ac:dyDescent="0.2">
      <c r="A491" s="7">
        <v>490</v>
      </c>
      <c r="B491" s="8" t="s">
        <v>70</v>
      </c>
      <c r="C491" s="9" t="s">
        <v>32</v>
      </c>
      <c r="D491" s="10">
        <v>36605</v>
      </c>
      <c r="E491" s="11">
        <v>7979219034</v>
      </c>
      <c r="F491" s="12">
        <v>33</v>
      </c>
      <c r="G491" s="4" t="s">
        <v>75</v>
      </c>
      <c r="H491" s="13">
        <v>521</v>
      </c>
      <c r="I491" s="14" t="s">
        <v>22</v>
      </c>
      <c r="J491" s="14" t="s">
        <v>23</v>
      </c>
      <c r="K491" s="14">
        <v>10</v>
      </c>
      <c r="L491" s="15">
        <v>30</v>
      </c>
      <c r="M491" s="15">
        <f t="shared" si="7"/>
        <v>300</v>
      </c>
      <c r="N491" s="16" t="s">
        <v>19</v>
      </c>
    </row>
    <row r="492" spans="1:14" ht="16.5" customHeight="1" x14ac:dyDescent="0.2">
      <c r="A492" s="7">
        <v>491</v>
      </c>
      <c r="B492" s="8" t="s">
        <v>70</v>
      </c>
      <c r="C492" s="9" t="s">
        <v>32</v>
      </c>
      <c r="D492" s="10">
        <v>37532</v>
      </c>
      <c r="E492" s="11">
        <v>7979219034</v>
      </c>
      <c r="F492" s="12">
        <v>33</v>
      </c>
      <c r="G492" s="4" t="s">
        <v>75</v>
      </c>
      <c r="H492" s="13">
        <v>521</v>
      </c>
      <c r="I492" s="14" t="s">
        <v>22</v>
      </c>
      <c r="J492" s="14" t="s">
        <v>23</v>
      </c>
      <c r="K492" s="14">
        <v>62</v>
      </c>
      <c r="L492" s="15">
        <v>30</v>
      </c>
      <c r="M492" s="15">
        <f t="shared" si="7"/>
        <v>1860</v>
      </c>
      <c r="N492" s="16" t="s">
        <v>19</v>
      </c>
    </row>
    <row r="493" spans="1:14" ht="16.5" customHeight="1" x14ac:dyDescent="0.2">
      <c r="A493" s="7">
        <v>492</v>
      </c>
      <c r="B493" s="8" t="s">
        <v>70</v>
      </c>
      <c r="C493" s="9" t="s">
        <v>32</v>
      </c>
      <c r="D493" s="10">
        <v>38459</v>
      </c>
      <c r="E493" s="11">
        <v>7979219034</v>
      </c>
      <c r="F493" s="12">
        <v>33</v>
      </c>
      <c r="G493" s="4" t="s">
        <v>75</v>
      </c>
      <c r="H493" s="13">
        <v>521</v>
      </c>
      <c r="I493" s="14" t="s">
        <v>22</v>
      </c>
      <c r="J493" s="14" t="s">
        <v>23</v>
      </c>
      <c r="K493" s="14">
        <v>41</v>
      </c>
      <c r="L493" s="15">
        <v>30</v>
      </c>
      <c r="M493" s="15">
        <f t="shared" si="7"/>
        <v>1230</v>
      </c>
      <c r="N493" s="16" t="s">
        <v>19</v>
      </c>
    </row>
    <row r="494" spans="1:14" ht="16.5" customHeight="1" x14ac:dyDescent="0.2">
      <c r="A494" s="7">
        <v>493</v>
      </c>
      <c r="B494" s="8" t="s">
        <v>70</v>
      </c>
      <c r="C494" s="9" t="s">
        <v>32</v>
      </c>
      <c r="D494" s="10">
        <v>39386</v>
      </c>
      <c r="E494" s="11">
        <v>7979219034</v>
      </c>
      <c r="F494" s="12">
        <v>33</v>
      </c>
      <c r="G494" s="4" t="s">
        <v>75</v>
      </c>
      <c r="H494" s="13">
        <v>521</v>
      </c>
      <c r="I494" s="14" t="s">
        <v>22</v>
      </c>
      <c r="J494" s="14" t="s">
        <v>23</v>
      </c>
      <c r="K494" s="14">
        <v>12</v>
      </c>
      <c r="L494" s="15">
        <v>30</v>
      </c>
      <c r="M494" s="15">
        <f t="shared" si="7"/>
        <v>360</v>
      </c>
      <c r="N494" s="16" t="s">
        <v>19</v>
      </c>
    </row>
    <row r="495" spans="1:14" ht="16.5" customHeight="1" x14ac:dyDescent="0.2">
      <c r="A495" s="7">
        <v>494</v>
      </c>
      <c r="B495" s="8" t="s">
        <v>76</v>
      </c>
      <c r="C495" s="9" t="s">
        <v>32</v>
      </c>
      <c r="D495" s="10">
        <v>34967</v>
      </c>
      <c r="E495" s="11">
        <v>6846094274</v>
      </c>
      <c r="F495" s="12">
        <v>33</v>
      </c>
      <c r="G495" s="4" t="s">
        <v>75</v>
      </c>
      <c r="H495" s="13">
        <v>454</v>
      </c>
      <c r="I495" s="14" t="s">
        <v>38</v>
      </c>
      <c r="J495" s="14" t="s">
        <v>18</v>
      </c>
      <c r="K495" s="14">
        <v>81</v>
      </c>
      <c r="L495" s="15">
        <v>15</v>
      </c>
      <c r="M495" s="15">
        <f t="shared" si="7"/>
        <v>1215</v>
      </c>
      <c r="N495" s="16" t="s">
        <v>19</v>
      </c>
    </row>
    <row r="496" spans="1:14" ht="16.5" customHeight="1" x14ac:dyDescent="0.2">
      <c r="A496" s="7">
        <v>495</v>
      </c>
      <c r="B496" s="8" t="s">
        <v>76</v>
      </c>
      <c r="C496" s="9" t="s">
        <v>32</v>
      </c>
      <c r="D496" s="10">
        <v>35894</v>
      </c>
      <c r="E496" s="11">
        <v>6846094274</v>
      </c>
      <c r="F496" s="12">
        <v>33</v>
      </c>
      <c r="G496" s="4" t="s">
        <v>75</v>
      </c>
      <c r="H496" s="13">
        <v>454</v>
      </c>
      <c r="I496" s="14" t="s">
        <v>38</v>
      </c>
      <c r="J496" s="14" t="s">
        <v>18</v>
      </c>
      <c r="K496" s="14">
        <v>83</v>
      </c>
      <c r="L496" s="15">
        <v>15</v>
      </c>
      <c r="M496" s="15">
        <f t="shared" si="7"/>
        <v>1245</v>
      </c>
      <c r="N496" s="16" t="s">
        <v>19</v>
      </c>
    </row>
    <row r="497" spans="1:14" ht="16.5" customHeight="1" x14ac:dyDescent="0.2">
      <c r="A497" s="7">
        <v>496</v>
      </c>
      <c r="B497" s="8" t="s">
        <v>76</v>
      </c>
      <c r="C497" s="9" t="s">
        <v>32</v>
      </c>
      <c r="D497" s="10">
        <v>36821</v>
      </c>
      <c r="E497" s="11">
        <v>6846094274</v>
      </c>
      <c r="F497" s="12">
        <v>33</v>
      </c>
      <c r="G497" s="4" t="s">
        <v>75</v>
      </c>
      <c r="H497" s="13">
        <v>454</v>
      </c>
      <c r="I497" s="14" t="s">
        <v>38</v>
      </c>
      <c r="J497" s="14" t="s">
        <v>18</v>
      </c>
      <c r="K497" s="14">
        <v>88</v>
      </c>
      <c r="L497" s="15">
        <v>15</v>
      </c>
      <c r="M497" s="15">
        <f t="shared" si="7"/>
        <v>1320</v>
      </c>
      <c r="N497" s="16" t="s">
        <v>19</v>
      </c>
    </row>
    <row r="498" spans="1:14" ht="16.5" customHeight="1" x14ac:dyDescent="0.2">
      <c r="A498" s="7">
        <v>497</v>
      </c>
      <c r="B498" s="8" t="s">
        <v>76</v>
      </c>
      <c r="C498" s="9" t="s">
        <v>32</v>
      </c>
      <c r="D498" s="10">
        <v>37748</v>
      </c>
      <c r="E498" s="11">
        <v>6846094274</v>
      </c>
      <c r="F498" s="12">
        <v>25</v>
      </c>
      <c r="G498" s="4" t="s">
        <v>77</v>
      </c>
      <c r="H498" s="13">
        <v>454</v>
      </c>
      <c r="I498" s="14" t="s">
        <v>38</v>
      </c>
      <c r="J498" s="14" t="s">
        <v>18</v>
      </c>
      <c r="K498" s="14">
        <v>91</v>
      </c>
      <c r="L498" s="15">
        <v>15</v>
      </c>
      <c r="M498" s="15">
        <f t="shared" si="7"/>
        <v>1365</v>
      </c>
      <c r="N498" s="16" t="s">
        <v>19</v>
      </c>
    </row>
    <row r="499" spans="1:14" ht="16.5" customHeight="1" x14ac:dyDescent="0.2">
      <c r="A499" s="7">
        <v>498</v>
      </c>
      <c r="B499" s="8" t="s">
        <v>76</v>
      </c>
      <c r="C499" s="9" t="s">
        <v>32</v>
      </c>
      <c r="D499" s="10">
        <v>38675</v>
      </c>
      <c r="E499" s="11">
        <v>6846094274</v>
      </c>
      <c r="F499" s="12">
        <v>25</v>
      </c>
      <c r="G499" s="4" t="s">
        <v>77</v>
      </c>
      <c r="H499" s="13">
        <v>454</v>
      </c>
      <c r="I499" s="14" t="s">
        <v>38</v>
      </c>
      <c r="J499" s="14" t="s">
        <v>18</v>
      </c>
      <c r="K499" s="14">
        <v>78</v>
      </c>
      <c r="L499" s="15">
        <v>15</v>
      </c>
      <c r="M499" s="15">
        <f t="shared" si="7"/>
        <v>1170</v>
      </c>
      <c r="N499" s="16" t="s">
        <v>19</v>
      </c>
    </row>
    <row r="500" spans="1:14" ht="16.5" customHeight="1" x14ac:dyDescent="0.2">
      <c r="A500" s="7">
        <v>499</v>
      </c>
      <c r="B500" s="8" t="s">
        <v>76</v>
      </c>
      <c r="C500" s="9" t="s">
        <v>32</v>
      </c>
      <c r="D500" s="10">
        <v>39602</v>
      </c>
      <c r="E500" s="11">
        <v>6846094274</v>
      </c>
      <c r="F500" s="12">
        <v>25</v>
      </c>
      <c r="G500" s="4" t="s">
        <v>77</v>
      </c>
      <c r="H500" s="13">
        <v>454</v>
      </c>
      <c r="I500" s="14" t="s">
        <v>38</v>
      </c>
      <c r="J500" s="14" t="s">
        <v>18</v>
      </c>
      <c r="K500" s="14">
        <v>60</v>
      </c>
      <c r="L500" s="15">
        <v>15</v>
      </c>
      <c r="M500" s="15">
        <f t="shared" si="7"/>
        <v>900</v>
      </c>
      <c r="N500" s="16" t="s">
        <v>19</v>
      </c>
    </row>
    <row r="501" spans="1:14" ht="16.5" customHeight="1" x14ac:dyDescent="0.2">
      <c r="A501" s="7">
        <v>500</v>
      </c>
      <c r="B501" s="8" t="s">
        <v>78</v>
      </c>
      <c r="C501" s="9" t="s">
        <v>32</v>
      </c>
      <c r="D501" s="10">
        <v>35381</v>
      </c>
      <c r="E501" s="11">
        <v>4548490727</v>
      </c>
      <c r="F501" s="12">
        <v>25</v>
      </c>
      <c r="G501" s="4" t="s">
        <v>77</v>
      </c>
      <c r="H501" s="13">
        <v>214</v>
      </c>
      <c r="I501" s="14" t="s">
        <v>36</v>
      </c>
      <c r="J501" s="14" t="s">
        <v>18</v>
      </c>
      <c r="K501" s="14">
        <v>92</v>
      </c>
      <c r="L501" s="15">
        <v>60</v>
      </c>
      <c r="M501" s="15">
        <f t="shared" si="7"/>
        <v>5520</v>
      </c>
      <c r="N501" s="14" t="s">
        <v>25</v>
      </c>
    </row>
    <row r="502" spans="1:14" ht="16.5" customHeight="1" x14ac:dyDescent="0.2">
      <c r="A502" s="7">
        <v>501</v>
      </c>
      <c r="B502" s="8" t="s">
        <v>78</v>
      </c>
      <c r="C502" s="9" t="s">
        <v>32</v>
      </c>
      <c r="D502" s="10">
        <v>35408</v>
      </c>
      <c r="E502" s="11">
        <v>6415992583</v>
      </c>
      <c r="F502" s="12">
        <v>25</v>
      </c>
      <c r="G502" s="4" t="s">
        <v>77</v>
      </c>
      <c r="H502" s="13">
        <v>568</v>
      </c>
      <c r="I502" s="14" t="s">
        <v>28</v>
      </c>
      <c r="J502" s="14" t="s">
        <v>29</v>
      </c>
      <c r="K502" s="14">
        <v>17</v>
      </c>
      <c r="L502" s="15">
        <v>1</v>
      </c>
      <c r="M502" s="15">
        <f t="shared" si="7"/>
        <v>17</v>
      </c>
      <c r="N502" s="14" t="s">
        <v>30</v>
      </c>
    </row>
    <row r="503" spans="1:14" ht="16.5" customHeight="1" x14ac:dyDescent="0.2">
      <c r="A503" s="7">
        <v>502</v>
      </c>
      <c r="B503" s="8" t="s">
        <v>78</v>
      </c>
      <c r="C503" s="9" t="s">
        <v>32</v>
      </c>
      <c r="D503" s="10">
        <v>36308</v>
      </c>
      <c r="E503" s="11">
        <v>4548490727</v>
      </c>
      <c r="F503" s="12">
        <v>25</v>
      </c>
      <c r="G503" s="4" t="s">
        <v>77</v>
      </c>
      <c r="H503" s="13">
        <v>214</v>
      </c>
      <c r="I503" s="14" t="s">
        <v>36</v>
      </c>
      <c r="J503" s="14" t="s">
        <v>18</v>
      </c>
      <c r="K503" s="14">
        <v>92</v>
      </c>
      <c r="L503" s="15">
        <v>60</v>
      </c>
      <c r="M503" s="15">
        <f t="shared" si="7"/>
        <v>5520</v>
      </c>
      <c r="N503" s="14" t="s">
        <v>25</v>
      </c>
    </row>
    <row r="504" spans="1:14" ht="16.5" customHeight="1" x14ac:dyDescent="0.2">
      <c r="A504" s="7">
        <v>503</v>
      </c>
      <c r="B504" s="8" t="s">
        <v>78</v>
      </c>
      <c r="C504" s="9" t="s">
        <v>32</v>
      </c>
      <c r="D504" s="10">
        <v>36335</v>
      </c>
      <c r="E504" s="11">
        <v>6415992583</v>
      </c>
      <c r="F504" s="12">
        <v>25</v>
      </c>
      <c r="G504" s="4" t="s">
        <v>77</v>
      </c>
      <c r="H504" s="13">
        <v>568</v>
      </c>
      <c r="I504" s="14" t="s">
        <v>28</v>
      </c>
      <c r="J504" s="14" t="s">
        <v>29</v>
      </c>
      <c r="K504" s="14">
        <v>73</v>
      </c>
      <c r="L504" s="15">
        <v>1</v>
      </c>
      <c r="M504" s="15">
        <f t="shared" si="7"/>
        <v>73</v>
      </c>
      <c r="N504" s="14" t="s">
        <v>30</v>
      </c>
    </row>
    <row r="505" spans="1:14" ht="16.5" customHeight="1" x14ac:dyDescent="0.2">
      <c r="A505" s="7">
        <v>504</v>
      </c>
      <c r="B505" s="8" t="s">
        <v>78</v>
      </c>
      <c r="C505" s="9" t="s">
        <v>32</v>
      </c>
      <c r="D505" s="10">
        <v>37235</v>
      </c>
      <c r="E505" s="11">
        <v>4548490727</v>
      </c>
      <c r="F505" s="12">
        <v>25</v>
      </c>
      <c r="G505" s="4" t="s">
        <v>77</v>
      </c>
      <c r="H505" s="13">
        <v>214</v>
      </c>
      <c r="I505" s="14" t="s">
        <v>36</v>
      </c>
      <c r="J505" s="14" t="s">
        <v>18</v>
      </c>
      <c r="K505" s="14">
        <v>86</v>
      </c>
      <c r="L505" s="15">
        <v>60</v>
      </c>
      <c r="M505" s="15">
        <f t="shared" si="7"/>
        <v>5160</v>
      </c>
      <c r="N505" s="14" t="s">
        <v>25</v>
      </c>
    </row>
    <row r="506" spans="1:14" ht="16.5" customHeight="1" x14ac:dyDescent="0.2">
      <c r="A506" s="7">
        <v>505</v>
      </c>
      <c r="B506" s="8" t="s">
        <v>78</v>
      </c>
      <c r="C506" s="9" t="s">
        <v>32</v>
      </c>
      <c r="D506" s="10">
        <v>37262</v>
      </c>
      <c r="E506" s="11">
        <v>6415992583</v>
      </c>
      <c r="F506" s="12">
        <v>25</v>
      </c>
      <c r="G506" s="4" t="s">
        <v>77</v>
      </c>
      <c r="H506" s="13">
        <v>568</v>
      </c>
      <c r="I506" s="14" t="s">
        <v>28</v>
      </c>
      <c r="J506" s="14" t="s">
        <v>29</v>
      </c>
      <c r="K506" s="14">
        <v>30</v>
      </c>
      <c r="L506" s="15">
        <v>1</v>
      </c>
      <c r="M506" s="15">
        <f t="shared" si="7"/>
        <v>30</v>
      </c>
      <c r="N506" s="14" t="s">
        <v>30</v>
      </c>
    </row>
    <row r="507" spans="1:14" ht="16.5" customHeight="1" x14ac:dyDescent="0.2">
      <c r="A507" s="7">
        <v>506</v>
      </c>
      <c r="B507" s="8" t="s">
        <v>78</v>
      </c>
      <c r="C507" s="9" t="s">
        <v>32</v>
      </c>
      <c r="D507" s="10">
        <v>38162</v>
      </c>
      <c r="E507" s="11">
        <v>4548490727</v>
      </c>
      <c r="F507" s="12">
        <v>25</v>
      </c>
      <c r="G507" s="4" t="s">
        <v>77</v>
      </c>
      <c r="H507" s="13">
        <v>214</v>
      </c>
      <c r="I507" s="14" t="s">
        <v>36</v>
      </c>
      <c r="J507" s="14" t="s">
        <v>18</v>
      </c>
      <c r="K507" s="14">
        <v>52</v>
      </c>
      <c r="L507" s="15">
        <v>60</v>
      </c>
      <c r="M507" s="15">
        <f t="shared" si="7"/>
        <v>3120</v>
      </c>
      <c r="N507" s="14" t="s">
        <v>25</v>
      </c>
    </row>
    <row r="508" spans="1:14" ht="16.5" customHeight="1" x14ac:dyDescent="0.2">
      <c r="A508" s="7">
        <v>507</v>
      </c>
      <c r="B508" s="8" t="s">
        <v>78</v>
      </c>
      <c r="C508" s="9" t="s">
        <v>32</v>
      </c>
      <c r="D508" s="10">
        <v>38189</v>
      </c>
      <c r="E508" s="11">
        <v>6415992583</v>
      </c>
      <c r="F508" s="12">
        <v>25</v>
      </c>
      <c r="G508" s="4" t="s">
        <v>77</v>
      </c>
      <c r="H508" s="13">
        <v>568</v>
      </c>
      <c r="I508" s="14" t="s">
        <v>28</v>
      </c>
      <c r="J508" s="14" t="s">
        <v>29</v>
      </c>
      <c r="K508" s="14">
        <v>98</v>
      </c>
      <c r="L508" s="15">
        <v>1</v>
      </c>
      <c r="M508" s="15">
        <f t="shared" si="7"/>
        <v>98</v>
      </c>
      <c r="N508" s="14" t="s">
        <v>30</v>
      </c>
    </row>
    <row r="509" spans="1:14" ht="16.5" customHeight="1" x14ac:dyDescent="0.2">
      <c r="A509" s="7">
        <v>508</v>
      </c>
      <c r="B509" s="8" t="s">
        <v>78</v>
      </c>
      <c r="C509" s="9" t="s">
        <v>32</v>
      </c>
      <c r="D509" s="10">
        <v>39089</v>
      </c>
      <c r="E509" s="11">
        <v>4548490727</v>
      </c>
      <c r="F509" s="12">
        <v>25</v>
      </c>
      <c r="G509" s="4" t="s">
        <v>77</v>
      </c>
      <c r="H509" s="13">
        <v>214</v>
      </c>
      <c r="I509" s="14" t="s">
        <v>36</v>
      </c>
      <c r="J509" s="14" t="s">
        <v>18</v>
      </c>
      <c r="K509" s="14">
        <v>29</v>
      </c>
      <c r="L509" s="15">
        <v>60</v>
      </c>
      <c r="M509" s="15">
        <f t="shared" si="7"/>
        <v>1740</v>
      </c>
      <c r="N509" s="14" t="s">
        <v>25</v>
      </c>
    </row>
    <row r="510" spans="1:14" ht="16.5" customHeight="1" x14ac:dyDescent="0.2">
      <c r="A510" s="7">
        <v>509</v>
      </c>
      <c r="B510" s="8" t="s">
        <v>78</v>
      </c>
      <c r="C510" s="9" t="s">
        <v>32</v>
      </c>
      <c r="D510" s="10">
        <v>39116</v>
      </c>
      <c r="E510" s="11">
        <v>6415992583</v>
      </c>
      <c r="F510" s="12">
        <v>25</v>
      </c>
      <c r="G510" s="4" t="s">
        <v>77</v>
      </c>
      <c r="H510" s="13">
        <v>568</v>
      </c>
      <c r="I510" s="14" t="s">
        <v>28</v>
      </c>
      <c r="J510" s="14" t="s">
        <v>29</v>
      </c>
      <c r="K510" s="14">
        <v>15</v>
      </c>
      <c r="L510" s="15">
        <v>1</v>
      </c>
      <c r="M510" s="15">
        <f t="shared" si="7"/>
        <v>15</v>
      </c>
      <c r="N510" s="14" t="s">
        <v>30</v>
      </c>
    </row>
    <row r="511" spans="1:14" ht="16.5" customHeight="1" x14ac:dyDescent="0.2">
      <c r="A511" s="7">
        <v>510</v>
      </c>
      <c r="B511" s="8" t="s">
        <v>78</v>
      </c>
      <c r="C511" s="9" t="s">
        <v>32</v>
      </c>
      <c r="D511" s="10">
        <v>40016</v>
      </c>
      <c r="E511" s="11">
        <v>4548490727</v>
      </c>
      <c r="F511" s="12">
        <v>25</v>
      </c>
      <c r="G511" s="4" t="s">
        <v>77</v>
      </c>
      <c r="H511" s="13">
        <v>214</v>
      </c>
      <c r="I511" s="14" t="s">
        <v>36</v>
      </c>
      <c r="J511" s="14" t="s">
        <v>18</v>
      </c>
      <c r="K511" s="14">
        <v>74</v>
      </c>
      <c r="L511" s="15">
        <v>60</v>
      </c>
      <c r="M511" s="15">
        <f t="shared" si="7"/>
        <v>4440</v>
      </c>
      <c r="N511" s="14" t="s">
        <v>25</v>
      </c>
    </row>
    <row r="512" spans="1:14" ht="16.5" customHeight="1" x14ac:dyDescent="0.2">
      <c r="A512" s="7">
        <v>511</v>
      </c>
      <c r="B512" s="8" t="s">
        <v>78</v>
      </c>
      <c r="C512" s="9" t="s">
        <v>32</v>
      </c>
      <c r="D512" s="10">
        <v>40043</v>
      </c>
      <c r="E512" s="11">
        <v>6415992583</v>
      </c>
      <c r="F512" s="12">
        <v>25</v>
      </c>
      <c r="G512" s="4" t="s">
        <v>77</v>
      </c>
      <c r="H512" s="13">
        <v>568</v>
      </c>
      <c r="I512" s="14" t="s">
        <v>28</v>
      </c>
      <c r="J512" s="14" t="s">
        <v>29</v>
      </c>
      <c r="K512" s="14">
        <v>80</v>
      </c>
      <c r="L512" s="15">
        <v>1</v>
      </c>
      <c r="M512" s="15">
        <f t="shared" si="7"/>
        <v>80</v>
      </c>
      <c r="N512" s="14" t="s">
        <v>30</v>
      </c>
    </row>
    <row r="513" spans="1:14" ht="16.5" customHeight="1" x14ac:dyDescent="0.2">
      <c r="A513" s="7">
        <v>512</v>
      </c>
      <c r="B513" s="8" t="s">
        <v>70</v>
      </c>
      <c r="C513" s="9" t="s">
        <v>32</v>
      </c>
      <c r="D513" s="10">
        <v>34742</v>
      </c>
      <c r="E513" s="11">
        <v>9918132123</v>
      </c>
      <c r="F513" s="12">
        <v>12</v>
      </c>
      <c r="G513" s="4" t="s">
        <v>79</v>
      </c>
      <c r="H513" s="13">
        <v>521</v>
      </c>
      <c r="I513" s="14" t="s">
        <v>22</v>
      </c>
      <c r="J513" s="14" t="s">
        <v>23</v>
      </c>
      <c r="K513" s="14">
        <v>92</v>
      </c>
      <c r="L513" s="15">
        <v>30</v>
      </c>
      <c r="M513" s="15">
        <f t="shared" si="7"/>
        <v>2760</v>
      </c>
      <c r="N513" s="14" t="s">
        <v>25</v>
      </c>
    </row>
    <row r="514" spans="1:14" ht="16.5" customHeight="1" x14ac:dyDescent="0.2">
      <c r="A514" s="7">
        <v>513</v>
      </c>
      <c r="B514" s="8" t="s">
        <v>70</v>
      </c>
      <c r="C514" s="9" t="s">
        <v>32</v>
      </c>
      <c r="D514" s="10">
        <v>34778</v>
      </c>
      <c r="E514" s="11">
        <v>8697454601</v>
      </c>
      <c r="F514" s="12">
        <v>12</v>
      </c>
      <c r="G514" s="4" t="s">
        <v>79</v>
      </c>
      <c r="H514" s="13">
        <v>353</v>
      </c>
      <c r="I514" s="14" t="s">
        <v>22</v>
      </c>
      <c r="J514" s="14" t="s">
        <v>23</v>
      </c>
      <c r="K514" s="14">
        <v>36</v>
      </c>
      <c r="L514" s="15">
        <v>40</v>
      </c>
      <c r="M514" s="15">
        <f t="shared" ref="M514:M577" si="8">L514*K514</f>
        <v>1440</v>
      </c>
      <c r="N514" s="16" t="s">
        <v>19</v>
      </c>
    </row>
    <row r="515" spans="1:14" ht="16.5" customHeight="1" x14ac:dyDescent="0.2">
      <c r="A515" s="7">
        <v>514</v>
      </c>
      <c r="B515" s="8" t="s">
        <v>70</v>
      </c>
      <c r="C515" s="9" t="s">
        <v>80</v>
      </c>
      <c r="D515" s="10">
        <v>35120</v>
      </c>
      <c r="E515" s="11">
        <v>6705755982</v>
      </c>
      <c r="F515" s="12">
        <v>12</v>
      </c>
      <c r="G515" s="4" t="s">
        <v>79</v>
      </c>
      <c r="H515" s="13">
        <v>240</v>
      </c>
      <c r="I515" s="14" t="s">
        <v>17</v>
      </c>
      <c r="J515" s="14" t="s">
        <v>18</v>
      </c>
      <c r="K515" s="14">
        <v>13</v>
      </c>
      <c r="L515" s="15">
        <v>45</v>
      </c>
      <c r="M515" s="15">
        <f t="shared" si="8"/>
        <v>585</v>
      </c>
      <c r="N515" s="16" t="s">
        <v>19</v>
      </c>
    </row>
    <row r="516" spans="1:14" ht="16.5" customHeight="1" x14ac:dyDescent="0.2">
      <c r="A516" s="7">
        <v>515</v>
      </c>
      <c r="B516" s="8" t="s">
        <v>70</v>
      </c>
      <c r="C516" s="9" t="s">
        <v>80</v>
      </c>
      <c r="D516" s="10">
        <v>35669</v>
      </c>
      <c r="E516" s="11">
        <v>9918132123</v>
      </c>
      <c r="F516" s="12">
        <v>12</v>
      </c>
      <c r="G516" s="4" t="s">
        <v>79</v>
      </c>
      <c r="H516" s="13">
        <v>521</v>
      </c>
      <c r="I516" s="14" t="s">
        <v>22</v>
      </c>
      <c r="J516" s="14" t="s">
        <v>23</v>
      </c>
      <c r="K516" s="14">
        <v>46</v>
      </c>
      <c r="L516" s="15">
        <v>30</v>
      </c>
      <c r="M516" s="15">
        <f t="shared" si="8"/>
        <v>1380</v>
      </c>
      <c r="N516" s="14" t="s">
        <v>25</v>
      </c>
    </row>
    <row r="517" spans="1:14" ht="16.5" customHeight="1" x14ac:dyDescent="0.2">
      <c r="A517" s="7">
        <v>516</v>
      </c>
      <c r="B517" s="8" t="s">
        <v>70</v>
      </c>
      <c r="C517" s="9" t="s">
        <v>80</v>
      </c>
      <c r="D517" s="10">
        <v>35705</v>
      </c>
      <c r="E517" s="11">
        <v>8697454601</v>
      </c>
      <c r="F517" s="12">
        <v>12</v>
      </c>
      <c r="G517" s="4" t="s">
        <v>79</v>
      </c>
      <c r="H517" s="13">
        <v>353</v>
      </c>
      <c r="I517" s="14" t="s">
        <v>22</v>
      </c>
      <c r="J517" s="14" t="s">
        <v>23</v>
      </c>
      <c r="K517" s="14">
        <v>72</v>
      </c>
      <c r="L517" s="15">
        <v>40</v>
      </c>
      <c r="M517" s="15">
        <f t="shared" si="8"/>
        <v>2880</v>
      </c>
      <c r="N517" s="16" t="s">
        <v>19</v>
      </c>
    </row>
    <row r="518" spans="1:14" ht="16.5" customHeight="1" x14ac:dyDescent="0.2">
      <c r="A518" s="7">
        <v>517</v>
      </c>
      <c r="B518" s="8" t="s">
        <v>70</v>
      </c>
      <c r="C518" s="9" t="s">
        <v>80</v>
      </c>
      <c r="D518" s="10">
        <v>36047</v>
      </c>
      <c r="E518" s="11">
        <v>6705755982</v>
      </c>
      <c r="F518" s="12">
        <v>12</v>
      </c>
      <c r="G518" s="4" t="s">
        <v>79</v>
      </c>
      <c r="H518" s="13">
        <v>240</v>
      </c>
      <c r="I518" s="14" t="s">
        <v>17</v>
      </c>
      <c r="J518" s="14" t="s">
        <v>18</v>
      </c>
      <c r="K518" s="14">
        <v>74</v>
      </c>
      <c r="L518" s="15">
        <v>45</v>
      </c>
      <c r="M518" s="15">
        <f t="shared" si="8"/>
        <v>3330</v>
      </c>
      <c r="N518" s="16" t="s">
        <v>19</v>
      </c>
    </row>
    <row r="519" spans="1:14" ht="16.5" customHeight="1" x14ac:dyDescent="0.2">
      <c r="A519" s="7">
        <v>518</v>
      </c>
      <c r="B519" s="8" t="s">
        <v>70</v>
      </c>
      <c r="C519" s="9" t="s">
        <v>80</v>
      </c>
      <c r="D519" s="10">
        <v>36596</v>
      </c>
      <c r="E519" s="11">
        <v>9918132123</v>
      </c>
      <c r="F519" s="12">
        <v>12</v>
      </c>
      <c r="G519" s="4" t="s">
        <v>79</v>
      </c>
      <c r="H519" s="13">
        <v>521</v>
      </c>
      <c r="I519" s="14" t="s">
        <v>22</v>
      </c>
      <c r="J519" s="14" t="s">
        <v>23</v>
      </c>
      <c r="K519" s="14">
        <v>39</v>
      </c>
      <c r="L519" s="15">
        <v>30</v>
      </c>
      <c r="M519" s="15">
        <f t="shared" si="8"/>
        <v>1170</v>
      </c>
      <c r="N519" s="14" t="s">
        <v>25</v>
      </c>
    </row>
    <row r="520" spans="1:14" ht="16.5" customHeight="1" x14ac:dyDescent="0.2">
      <c r="A520" s="7">
        <v>519</v>
      </c>
      <c r="B520" s="8" t="s">
        <v>70</v>
      </c>
      <c r="C520" s="9" t="s">
        <v>80</v>
      </c>
      <c r="D520" s="10">
        <v>36632</v>
      </c>
      <c r="E520" s="11">
        <v>8697454601</v>
      </c>
      <c r="F520" s="12">
        <v>12</v>
      </c>
      <c r="G520" s="4" t="s">
        <v>79</v>
      </c>
      <c r="H520" s="13">
        <v>353</v>
      </c>
      <c r="I520" s="14" t="s">
        <v>22</v>
      </c>
      <c r="J520" s="14" t="s">
        <v>23</v>
      </c>
      <c r="K520" s="14">
        <v>80</v>
      </c>
      <c r="L520" s="15">
        <v>40</v>
      </c>
      <c r="M520" s="15">
        <f t="shared" si="8"/>
        <v>3200</v>
      </c>
      <c r="N520" s="16" t="s">
        <v>19</v>
      </c>
    </row>
    <row r="521" spans="1:14" ht="16.5" customHeight="1" x14ac:dyDescent="0.2">
      <c r="A521" s="7">
        <v>520</v>
      </c>
      <c r="B521" s="8" t="s">
        <v>70</v>
      </c>
      <c r="C521" s="9" t="s">
        <v>80</v>
      </c>
      <c r="D521" s="10">
        <v>36974</v>
      </c>
      <c r="E521" s="11">
        <v>6705755982</v>
      </c>
      <c r="F521" s="12">
        <v>12</v>
      </c>
      <c r="G521" s="4" t="s">
        <v>79</v>
      </c>
      <c r="H521" s="13">
        <v>240</v>
      </c>
      <c r="I521" s="14" t="s">
        <v>17</v>
      </c>
      <c r="J521" s="14" t="s">
        <v>18</v>
      </c>
      <c r="K521" s="14">
        <v>80</v>
      </c>
      <c r="L521" s="15">
        <v>45</v>
      </c>
      <c r="M521" s="15">
        <f t="shared" si="8"/>
        <v>3600</v>
      </c>
      <c r="N521" s="16" t="s">
        <v>19</v>
      </c>
    </row>
    <row r="522" spans="1:14" ht="16.5" customHeight="1" x14ac:dyDescent="0.2">
      <c r="A522" s="7">
        <v>521</v>
      </c>
      <c r="B522" s="8" t="s">
        <v>70</v>
      </c>
      <c r="C522" s="9" t="s">
        <v>80</v>
      </c>
      <c r="D522" s="10">
        <v>37523</v>
      </c>
      <c r="E522" s="11">
        <v>9918132123</v>
      </c>
      <c r="F522" s="12">
        <v>12</v>
      </c>
      <c r="G522" s="4" t="s">
        <v>79</v>
      </c>
      <c r="H522" s="13">
        <v>521</v>
      </c>
      <c r="I522" s="14" t="s">
        <v>22</v>
      </c>
      <c r="J522" s="14" t="s">
        <v>23</v>
      </c>
      <c r="K522" s="14">
        <v>51</v>
      </c>
      <c r="L522" s="15">
        <v>30</v>
      </c>
      <c r="M522" s="15">
        <f t="shared" si="8"/>
        <v>1530</v>
      </c>
      <c r="N522" s="14" t="s">
        <v>25</v>
      </c>
    </row>
    <row r="523" spans="1:14" ht="16.5" customHeight="1" x14ac:dyDescent="0.2">
      <c r="A523" s="7">
        <v>522</v>
      </c>
      <c r="B523" s="8" t="s">
        <v>70</v>
      </c>
      <c r="C523" s="9" t="s">
        <v>80</v>
      </c>
      <c r="D523" s="10">
        <v>37559</v>
      </c>
      <c r="E523" s="11">
        <v>8697454601</v>
      </c>
      <c r="F523" s="12">
        <v>12</v>
      </c>
      <c r="G523" s="4" t="s">
        <v>79</v>
      </c>
      <c r="H523" s="13">
        <v>353</v>
      </c>
      <c r="I523" s="14" t="s">
        <v>22</v>
      </c>
      <c r="J523" s="14" t="s">
        <v>23</v>
      </c>
      <c r="K523" s="14">
        <v>48</v>
      </c>
      <c r="L523" s="15">
        <v>40</v>
      </c>
      <c r="M523" s="15">
        <f t="shared" si="8"/>
        <v>1920</v>
      </c>
      <c r="N523" s="16" t="s">
        <v>19</v>
      </c>
    </row>
    <row r="524" spans="1:14" ht="16.5" customHeight="1" x14ac:dyDescent="0.2">
      <c r="A524" s="7">
        <v>523</v>
      </c>
      <c r="B524" s="8" t="s">
        <v>70</v>
      </c>
      <c r="C524" s="9" t="s">
        <v>80</v>
      </c>
      <c r="D524" s="10">
        <v>37901</v>
      </c>
      <c r="E524" s="11">
        <v>6705755982</v>
      </c>
      <c r="F524" s="12">
        <v>12</v>
      </c>
      <c r="G524" s="4" t="s">
        <v>79</v>
      </c>
      <c r="H524" s="13">
        <v>240</v>
      </c>
      <c r="I524" s="14" t="s">
        <v>17</v>
      </c>
      <c r="J524" s="14" t="s">
        <v>18</v>
      </c>
      <c r="K524" s="14">
        <v>56</v>
      </c>
      <c r="L524" s="15">
        <v>45</v>
      </c>
      <c r="M524" s="15">
        <f t="shared" si="8"/>
        <v>2520</v>
      </c>
      <c r="N524" s="16" t="s">
        <v>19</v>
      </c>
    </row>
    <row r="525" spans="1:14" ht="16.5" customHeight="1" x14ac:dyDescent="0.2">
      <c r="A525" s="7">
        <v>524</v>
      </c>
      <c r="B525" s="8" t="s">
        <v>70</v>
      </c>
      <c r="C525" s="9" t="s">
        <v>80</v>
      </c>
      <c r="D525" s="10">
        <v>38450</v>
      </c>
      <c r="E525" s="11">
        <v>9918132123</v>
      </c>
      <c r="F525" s="12">
        <v>12</v>
      </c>
      <c r="G525" s="4" t="s">
        <v>79</v>
      </c>
      <c r="H525" s="13">
        <v>521</v>
      </c>
      <c r="I525" s="14" t="s">
        <v>22</v>
      </c>
      <c r="J525" s="14" t="s">
        <v>23</v>
      </c>
      <c r="K525" s="14">
        <v>34</v>
      </c>
      <c r="L525" s="15">
        <v>30</v>
      </c>
      <c r="M525" s="15">
        <f t="shared" si="8"/>
        <v>1020</v>
      </c>
      <c r="N525" s="14" t="s">
        <v>25</v>
      </c>
    </row>
    <row r="526" spans="1:14" ht="16.5" customHeight="1" x14ac:dyDescent="0.2">
      <c r="A526" s="7">
        <v>525</v>
      </c>
      <c r="B526" s="8" t="s">
        <v>70</v>
      </c>
      <c r="C526" s="9" t="s">
        <v>80</v>
      </c>
      <c r="D526" s="10">
        <v>38486</v>
      </c>
      <c r="E526" s="11">
        <v>8697454601</v>
      </c>
      <c r="F526" s="12">
        <v>12</v>
      </c>
      <c r="G526" s="4" t="s">
        <v>79</v>
      </c>
      <c r="H526" s="13">
        <v>353</v>
      </c>
      <c r="I526" s="14" t="s">
        <v>22</v>
      </c>
      <c r="J526" s="14" t="s">
        <v>23</v>
      </c>
      <c r="K526" s="14">
        <v>29</v>
      </c>
      <c r="L526" s="15">
        <v>40</v>
      </c>
      <c r="M526" s="15">
        <f t="shared" si="8"/>
        <v>1160</v>
      </c>
      <c r="N526" s="16" t="s">
        <v>19</v>
      </c>
    </row>
    <row r="527" spans="1:14" ht="16.5" customHeight="1" x14ac:dyDescent="0.2">
      <c r="A527" s="7">
        <v>526</v>
      </c>
      <c r="B527" s="8" t="s">
        <v>70</v>
      </c>
      <c r="C527" s="9" t="s">
        <v>80</v>
      </c>
      <c r="D527" s="10">
        <v>38828</v>
      </c>
      <c r="E527" s="11">
        <v>6705755982</v>
      </c>
      <c r="F527" s="12">
        <v>12</v>
      </c>
      <c r="G527" s="4" t="s">
        <v>79</v>
      </c>
      <c r="H527" s="13">
        <v>240</v>
      </c>
      <c r="I527" s="14" t="s">
        <v>17</v>
      </c>
      <c r="J527" s="14" t="s">
        <v>18</v>
      </c>
      <c r="K527" s="14">
        <v>35</v>
      </c>
      <c r="L527" s="15">
        <v>45</v>
      </c>
      <c r="M527" s="15">
        <f t="shared" si="8"/>
        <v>1575</v>
      </c>
      <c r="N527" s="16" t="s">
        <v>19</v>
      </c>
    </row>
    <row r="528" spans="1:14" ht="16.5" customHeight="1" x14ac:dyDescent="0.2">
      <c r="A528" s="7">
        <v>527</v>
      </c>
      <c r="B528" s="8" t="s">
        <v>70</v>
      </c>
      <c r="C528" s="9" t="s">
        <v>80</v>
      </c>
      <c r="D528" s="10">
        <v>39377</v>
      </c>
      <c r="E528" s="11">
        <v>9918132123</v>
      </c>
      <c r="F528" s="12">
        <v>12</v>
      </c>
      <c r="G528" s="4" t="s">
        <v>79</v>
      </c>
      <c r="H528" s="13">
        <v>521</v>
      </c>
      <c r="I528" s="14" t="s">
        <v>22</v>
      </c>
      <c r="J528" s="14" t="s">
        <v>23</v>
      </c>
      <c r="K528" s="14">
        <v>62</v>
      </c>
      <c r="L528" s="15">
        <v>30</v>
      </c>
      <c r="M528" s="15">
        <f t="shared" si="8"/>
        <v>1860</v>
      </c>
      <c r="N528" s="14" t="s">
        <v>25</v>
      </c>
    </row>
    <row r="529" spans="1:14" ht="16.5" customHeight="1" x14ac:dyDescent="0.2">
      <c r="A529" s="7">
        <v>528</v>
      </c>
      <c r="B529" s="8" t="s">
        <v>70</v>
      </c>
      <c r="C529" s="9" t="s">
        <v>80</v>
      </c>
      <c r="D529" s="10">
        <v>39413</v>
      </c>
      <c r="E529" s="11">
        <v>8697454601</v>
      </c>
      <c r="F529" s="12">
        <v>12</v>
      </c>
      <c r="G529" s="4" t="s">
        <v>79</v>
      </c>
      <c r="H529" s="13">
        <v>353</v>
      </c>
      <c r="I529" s="14" t="s">
        <v>22</v>
      </c>
      <c r="J529" s="14" t="s">
        <v>23</v>
      </c>
      <c r="K529" s="14">
        <v>25</v>
      </c>
      <c r="L529" s="15">
        <v>40</v>
      </c>
      <c r="M529" s="15">
        <f t="shared" si="8"/>
        <v>1000</v>
      </c>
      <c r="N529" s="16" t="s">
        <v>19</v>
      </c>
    </row>
    <row r="530" spans="1:14" ht="16.5" customHeight="1" x14ac:dyDescent="0.2">
      <c r="A530" s="7">
        <v>529</v>
      </c>
      <c r="B530" s="8" t="s">
        <v>70</v>
      </c>
      <c r="C530" s="9" t="s">
        <v>80</v>
      </c>
      <c r="D530" s="10">
        <v>39755</v>
      </c>
      <c r="E530" s="11">
        <v>6705755982</v>
      </c>
      <c r="F530" s="12">
        <v>12</v>
      </c>
      <c r="G530" s="4" t="s">
        <v>79</v>
      </c>
      <c r="H530" s="13">
        <v>240</v>
      </c>
      <c r="I530" s="14" t="s">
        <v>17</v>
      </c>
      <c r="J530" s="14" t="s">
        <v>18</v>
      </c>
      <c r="K530" s="14">
        <v>66</v>
      </c>
      <c r="L530" s="15">
        <v>45</v>
      </c>
      <c r="M530" s="15">
        <f t="shared" si="8"/>
        <v>2970</v>
      </c>
      <c r="N530" s="16" t="s">
        <v>19</v>
      </c>
    </row>
    <row r="531" spans="1:14" ht="16.5" customHeight="1" x14ac:dyDescent="0.2">
      <c r="A531" s="7">
        <v>530</v>
      </c>
      <c r="B531" s="8" t="s">
        <v>81</v>
      </c>
      <c r="C531" s="9" t="s">
        <v>80</v>
      </c>
      <c r="D531" s="10">
        <v>34796</v>
      </c>
      <c r="E531" s="11">
        <v>3835300593</v>
      </c>
      <c r="F531" s="12">
        <v>12</v>
      </c>
      <c r="G531" s="4" t="s">
        <v>79</v>
      </c>
      <c r="H531" s="13">
        <v>521</v>
      </c>
      <c r="I531" s="14" t="s">
        <v>22</v>
      </c>
      <c r="J531" s="14" t="s">
        <v>23</v>
      </c>
      <c r="K531" s="14">
        <v>35</v>
      </c>
      <c r="L531" s="15">
        <v>30</v>
      </c>
      <c r="M531" s="15">
        <f t="shared" si="8"/>
        <v>1050</v>
      </c>
      <c r="N531" s="14" t="s">
        <v>30</v>
      </c>
    </row>
    <row r="532" spans="1:14" ht="16.5" customHeight="1" x14ac:dyDescent="0.2">
      <c r="A532" s="7">
        <v>531</v>
      </c>
      <c r="B532" s="8" t="s">
        <v>81</v>
      </c>
      <c r="C532" s="9" t="s">
        <v>80</v>
      </c>
      <c r="D532" s="10">
        <v>34805</v>
      </c>
      <c r="E532" s="11">
        <v>2595711099</v>
      </c>
      <c r="F532" s="12">
        <v>12</v>
      </c>
      <c r="G532" s="4" t="s">
        <v>79</v>
      </c>
      <c r="H532" s="13">
        <v>521</v>
      </c>
      <c r="I532" s="14" t="s">
        <v>22</v>
      </c>
      <c r="J532" s="14" t="s">
        <v>23</v>
      </c>
      <c r="K532" s="14">
        <v>90</v>
      </c>
      <c r="L532" s="15">
        <v>30</v>
      </c>
      <c r="M532" s="15">
        <f t="shared" si="8"/>
        <v>2700</v>
      </c>
      <c r="N532" s="16" t="s">
        <v>19</v>
      </c>
    </row>
    <row r="533" spans="1:14" ht="16.5" customHeight="1" x14ac:dyDescent="0.2">
      <c r="A533" s="7">
        <v>532</v>
      </c>
      <c r="B533" s="8" t="s">
        <v>81</v>
      </c>
      <c r="C533" s="9" t="s">
        <v>80</v>
      </c>
      <c r="D533" s="10">
        <v>34823</v>
      </c>
      <c r="E533" s="11">
        <v>7171991640</v>
      </c>
      <c r="F533" s="12">
        <v>12</v>
      </c>
      <c r="G533" s="4" t="s">
        <v>79</v>
      </c>
      <c r="H533" s="13">
        <v>577</v>
      </c>
      <c r="I533" s="14" t="s">
        <v>47</v>
      </c>
      <c r="J533" s="14" t="s">
        <v>18</v>
      </c>
      <c r="K533" s="14">
        <v>88</v>
      </c>
      <c r="L533" s="15">
        <v>40</v>
      </c>
      <c r="M533" s="15">
        <f t="shared" si="8"/>
        <v>3520</v>
      </c>
      <c r="N533" s="14" t="s">
        <v>30</v>
      </c>
    </row>
    <row r="534" spans="1:14" ht="16.5" customHeight="1" x14ac:dyDescent="0.2">
      <c r="A534" s="7">
        <v>533</v>
      </c>
      <c r="B534" s="8" t="s">
        <v>81</v>
      </c>
      <c r="C534" s="9" t="s">
        <v>80</v>
      </c>
      <c r="D534" s="10">
        <v>35723</v>
      </c>
      <c r="E534" s="11">
        <v>3835300593</v>
      </c>
      <c r="F534" s="12">
        <v>12</v>
      </c>
      <c r="G534" s="4" t="s">
        <v>79</v>
      </c>
      <c r="H534" s="13">
        <v>521</v>
      </c>
      <c r="I534" s="14" t="s">
        <v>22</v>
      </c>
      <c r="J534" s="14" t="s">
        <v>23</v>
      </c>
      <c r="K534" s="14">
        <v>95</v>
      </c>
      <c r="L534" s="15">
        <v>30</v>
      </c>
      <c r="M534" s="15">
        <f t="shared" si="8"/>
        <v>2850</v>
      </c>
      <c r="N534" s="14" t="s">
        <v>30</v>
      </c>
    </row>
    <row r="535" spans="1:14" ht="16.5" customHeight="1" x14ac:dyDescent="0.2">
      <c r="A535" s="7">
        <v>534</v>
      </c>
      <c r="B535" s="8" t="s">
        <v>81</v>
      </c>
      <c r="C535" s="9" t="s">
        <v>80</v>
      </c>
      <c r="D535" s="10">
        <v>35732</v>
      </c>
      <c r="E535" s="11">
        <v>2595711099</v>
      </c>
      <c r="F535" s="12">
        <v>12</v>
      </c>
      <c r="G535" s="4" t="s">
        <v>79</v>
      </c>
      <c r="H535" s="13">
        <v>521</v>
      </c>
      <c r="I535" s="14" t="s">
        <v>22</v>
      </c>
      <c r="J535" s="14" t="s">
        <v>23</v>
      </c>
      <c r="K535" s="14">
        <v>14</v>
      </c>
      <c r="L535" s="15">
        <v>30</v>
      </c>
      <c r="M535" s="15">
        <f t="shared" si="8"/>
        <v>420</v>
      </c>
      <c r="N535" s="16" t="s">
        <v>19</v>
      </c>
    </row>
    <row r="536" spans="1:14" ht="16.5" customHeight="1" x14ac:dyDescent="0.2">
      <c r="A536" s="7">
        <v>535</v>
      </c>
      <c r="B536" s="8" t="s">
        <v>81</v>
      </c>
      <c r="C536" s="9" t="s">
        <v>80</v>
      </c>
      <c r="D536" s="10">
        <v>35750</v>
      </c>
      <c r="E536" s="11">
        <v>7171991640</v>
      </c>
      <c r="F536" s="12">
        <v>12</v>
      </c>
      <c r="G536" s="4" t="s">
        <v>79</v>
      </c>
      <c r="H536" s="13">
        <v>577</v>
      </c>
      <c r="I536" s="14" t="s">
        <v>47</v>
      </c>
      <c r="J536" s="14" t="s">
        <v>18</v>
      </c>
      <c r="K536" s="14">
        <v>82</v>
      </c>
      <c r="L536" s="15">
        <v>40</v>
      </c>
      <c r="M536" s="15">
        <f t="shared" si="8"/>
        <v>3280</v>
      </c>
      <c r="N536" s="14" t="s">
        <v>30</v>
      </c>
    </row>
    <row r="537" spans="1:14" ht="16.5" customHeight="1" x14ac:dyDescent="0.2">
      <c r="A537" s="7">
        <v>536</v>
      </c>
      <c r="B537" s="8" t="s">
        <v>81</v>
      </c>
      <c r="C537" s="9" t="s">
        <v>80</v>
      </c>
      <c r="D537" s="10">
        <v>36650</v>
      </c>
      <c r="E537" s="11">
        <v>3835300593</v>
      </c>
      <c r="F537" s="12">
        <v>12</v>
      </c>
      <c r="G537" s="4" t="s">
        <v>79</v>
      </c>
      <c r="H537" s="13">
        <v>521</v>
      </c>
      <c r="I537" s="14" t="s">
        <v>22</v>
      </c>
      <c r="J537" s="14" t="s">
        <v>23</v>
      </c>
      <c r="K537" s="14">
        <v>67</v>
      </c>
      <c r="L537" s="15">
        <v>30</v>
      </c>
      <c r="M537" s="15">
        <f t="shared" si="8"/>
        <v>2010</v>
      </c>
      <c r="N537" s="14" t="s">
        <v>30</v>
      </c>
    </row>
    <row r="538" spans="1:14" ht="16.5" customHeight="1" x14ac:dyDescent="0.2">
      <c r="A538" s="7">
        <v>537</v>
      </c>
      <c r="B538" s="8" t="s">
        <v>81</v>
      </c>
      <c r="C538" s="9" t="s">
        <v>80</v>
      </c>
      <c r="D538" s="10">
        <v>36659</v>
      </c>
      <c r="E538" s="11">
        <v>2595711099</v>
      </c>
      <c r="F538" s="12">
        <v>12</v>
      </c>
      <c r="G538" s="4" t="s">
        <v>79</v>
      </c>
      <c r="H538" s="13">
        <v>521</v>
      </c>
      <c r="I538" s="14" t="s">
        <v>22</v>
      </c>
      <c r="J538" s="14" t="s">
        <v>23</v>
      </c>
      <c r="K538" s="14">
        <v>66</v>
      </c>
      <c r="L538" s="15">
        <v>30</v>
      </c>
      <c r="M538" s="15">
        <f t="shared" si="8"/>
        <v>1980</v>
      </c>
      <c r="N538" s="16" t="s">
        <v>19</v>
      </c>
    </row>
    <row r="539" spans="1:14" ht="16.5" customHeight="1" x14ac:dyDescent="0.2">
      <c r="A539" s="7">
        <v>538</v>
      </c>
      <c r="B539" s="8" t="s">
        <v>81</v>
      </c>
      <c r="C539" s="9" t="s">
        <v>80</v>
      </c>
      <c r="D539" s="10">
        <v>36677</v>
      </c>
      <c r="E539" s="11">
        <v>7171991640</v>
      </c>
      <c r="F539" s="12">
        <v>12</v>
      </c>
      <c r="G539" s="4" t="s">
        <v>79</v>
      </c>
      <c r="H539" s="13">
        <v>577</v>
      </c>
      <c r="I539" s="14" t="s">
        <v>47</v>
      </c>
      <c r="J539" s="14" t="s">
        <v>18</v>
      </c>
      <c r="K539" s="14">
        <v>21</v>
      </c>
      <c r="L539" s="15">
        <v>40</v>
      </c>
      <c r="M539" s="15">
        <f t="shared" si="8"/>
        <v>840</v>
      </c>
      <c r="N539" s="14" t="s">
        <v>30</v>
      </c>
    </row>
    <row r="540" spans="1:14" ht="16.5" customHeight="1" x14ac:dyDescent="0.2">
      <c r="A540" s="7">
        <v>539</v>
      </c>
      <c r="B540" s="8" t="s">
        <v>81</v>
      </c>
      <c r="C540" s="9" t="s">
        <v>80</v>
      </c>
      <c r="D540" s="10">
        <v>37577</v>
      </c>
      <c r="E540" s="11">
        <v>3835300593</v>
      </c>
      <c r="F540" s="12">
        <v>12</v>
      </c>
      <c r="G540" s="4" t="s">
        <v>79</v>
      </c>
      <c r="H540" s="13">
        <v>521</v>
      </c>
      <c r="I540" s="14" t="s">
        <v>22</v>
      </c>
      <c r="J540" s="14" t="s">
        <v>23</v>
      </c>
      <c r="K540" s="14">
        <v>33</v>
      </c>
      <c r="L540" s="15">
        <v>30</v>
      </c>
      <c r="M540" s="15">
        <f t="shared" si="8"/>
        <v>990</v>
      </c>
      <c r="N540" s="14" t="s">
        <v>30</v>
      </c>
    </row>
    <row r="541" spans="1:14" ht="16.5" customHeight="1" x14ac:dyDescent="0.2">
      <c r="A541" s="7">
        <v>540</v>
      </c>
      <c r="B541" s="8" t="s">
        <v>81</v>
      </c>
      <c r="C541" s="9" t="s">
        <v>80</v>
      </c>
      <c r="D541" s="10">
        <v>37586</v>
      </c>
      <c r="E541" s="11">
        <v>2595711099</v>
      </c>
      <c r="F541" s="12">
        <v>12</v>
      </c>
      <c r="G541" s="4" t="s">
        <v>79</v>
      </c>
      <c r="H541" s="13">
        <v>521</v>
      </c>
      <c r="I541" s="14" t="s">
        <v>22</v>
      </c>
      <c r="J541" s="14" t="s">
        <v>23</v>
      </c>
      <c r="K541" s="14">
        <v>18</v>
      </c>
      <c r="L541" s="15">
        <v>30</v>
      </c>
      <c r="M541" s="15">
        <f t="shared" si="8"/>
        <v>540</v>
      </c>
      <c r="N541" s="16" t="s">
        <v>19</v>
      </c>
    </row>
    <row r="542" spans="1:14" ht="16.5" customHeight="1" x14ac:dyDescent="0.2">
      <c r="A542" s="7">
        <v>541</v>
      </c>
      <c r="B542" s="8" t="s">
        <v>81</v>
      </c>
      <c r="C542" s="9" t="s">
        <v>80</v>
      </c>
      <c r="D542" s="10">
        <v>37604</v>
      </c>
      <c r="E542" s="11">
        <v>7171991640</v>
      </c>
      <c r="F542" s="12">
        <v>12</v>
      </c>
      <c r="G542" s="4" t="s">
        <v>79</v>
      </c>
      <c r="H542" s="13">
        <v>577</v>
      </c>
      <c r="I542" s="14" t="s">
        <v>47</v>
      </c>
      <c r="J542" s="14" t="s">
        <v>18</v>
      </c>
      <c r="K542" s="14">
        <v>39</v>
      </c>
      <c r="L542" s="15">
        <v>40</v>
      </c>
      <c r="M542" s="15">
        <f t="shared" si="8"/>
        <v>1560</v>
      </c>
      <c r="N542" s="14" t="s">
        <v>30</v>
      </c>
    </row>
    <row r="543" spans="1:14" ht="16.5" customHeight="1" x14ac:dyDescent="0.2">
      <c r="A543" s="7">
        <v>542</v>
      </c>
      <c r="B543" s="8" t="s">
        <v>81</v>
      </c>
      <c r="C543" s="9" t="s">
        <v>80</v>
      </c>
      <c r="D543" s="10">
        <v>38504</v>
      </c>
      <c r="E543" s="11">
        <v>3835300593</v>
      </c>
      <c r="F543" s="12">
        <v>12</v>
      </c>
      <c r="G543" s="4" t="s">
        <v>79</v>
      </c>
      <c r="H543" s="13">
        <v>521</v>
      </c>
      <c r="I543" s="14" t="s">
        <v>22</v>
      </c>
      <c r="J543" s="14" t="s">
        <v>23</v>
      </c>
      <c r="K543" s="14">
        <v>72</v>
      </c>
      <c r="L543" s="15">
        <v>30</v>
      </c>
      <c r="M543" s="15">
        <f t="shared" si="8"/>
        <v>2160</v>
      </c>
      <c r="N543" s="14" t="s">
        <v>30</v>
      </c>
    </row>
    <row r="544" spans="1:14" ht="16.5" customHeight="1" x14ac:dyDescent="0.2">
      <c r="A544" s="7">
        <v>543</v>
      </c>
      <c r="B544" s="8" t="s">
        <v>81</v>
      </c>
      <c r="C544" s="9" t="s">
        <v>32</v>
      </c>
      <c r="D544" s="10">
        <v>38513</v>
      </c>
      <c r="E544" s="11">
        <v>2595711099</v>
      </c>
      <c r="F544" s="12">
        <v>12</v>
      </c>
      <c r="G544" s="4" t="s">
        <v>79</v>
      </c>
      <c r="H544" s="13">
        <v>521</v>
      </c>
      <c r="I544" s="14" t="s">
        <v>22</v>
      </c>
      <c r="J544" s="14" t="s">
        <v>23</v>
      </c>
      <c r="K544" s="14">
        <v>71</v>
      </c>
      <c r="L544" s="15">
        <v>30</v>
      </c>
      <c r="M544" s="15">
        <f t="shared" si="8"/>
        <v>2130</v>
      </c>
      <c r="N544" s="16" t="s">
        <v>19</v>
      </c>
    </row>
    <row r="545" spans="1:14" ht="16.5" customHeight="1" x14ac:dyDescent="0.2">
      <c r="A545" s="7">
        <v>544</v>
      </c>
      <c r="B545" s="8" t="s">
        <v>81</v>
      </c>
      <c r="C545" s="9" t="s">
        <v>32</v>
      </c>
      <c r="D545" s="10">
        <v>38531</v>
      </c>
      <c r="E545" s="11">
        <v>7171991640</v>
      </c>
      <c r="F545" s="12">
        <v>12</v>
      </c>
      <c r="G545" s="4" t="s">
        <v>79</v>
      </c>
      <c r="H545" s="13">
        <v>577</v>
      </c>
      <c r="I545" s="14" t="s">
        <v>47</v>
      </c>
      <c r="J545" s="14" t="s">
        <v>18</v>
      </c>
      <c r="K545" s="14">
        <v>73</v>
      </c>
      <c r="L545" s="15">
        <v>40</v>
      </c>
      <c r="M545" s="15">
        <f t="shared" si="8"/>
        <v>2920</v>
      </c>
      <c r="N545" s="14" t="s">
        <v>30</v>
      </c>
    </row>
    <row r="546" spans="1:14" ht="16.5" customHeight="1" x14ac:dyDescent="0.2">
      <c r="A546" s="7">
        <v>545</v>
      </c>
      <c r="B546" s="8" t="s">
        <v>81</v>
      </c>
      <c r="C546" s="9" t="s">
        <v>32</v>
      </c>
      <c r="D546" s="10">
        <v>39431</v>
      </c>
      <c r="E546" s="11">
        <v>3835300593</v>
      </c>
      <c r="F546" s="12">
        <v>12</v>
      </c>
      <c r="G546" s="4" t="s">
        <v>79</v>
      </c>
      <c r="H546" s="13">
        <v>521</v>
      </c>
      <c r="I546" s="14" t="s">
        <v>22</v>
      </c>
      <c r="J546" s="14" t="s">
        <v>23</v>
      </c>
      <c r="K546" s="14">
        <v>85</v>
      </c>
      <c r="L546" s="15">
        <v>30</v>
      </c>
      <c r="M546" s="15">
        <f t="shared" si="8"/>
        <v>2550</v>
      </c>
      <c r="N546" s="14" t="s">
        <v>30</v>
      </c>
    </row>
    <row r="547" spans="1:14" ht="16.5" customHeight="1" x14ac:dyDescent="0.2">
      <c r="A547" s="7">
        <v>546</v>
      </c>
      <c r="B547" s="8" t="s">
        <v>81</v>
      </c>
      <c r="C547" s="9" t="s">
        <v>32</v>
      </c>
      <c r="D547" s="10">
        <v>39440</v>
      </c>
      <c r="E547" s="11">
        <v>2595711099</v>
      </c>
      <c r="F547" s="12">
        <v>12</v>
      </c>
      <c r="G547" s="4" t="s">
        <v>79</v>
      </c>
      <c r="H547" s="13">
        <v>521</v>
      </c>
      <c r="I547" s="14" t="s">
        <v>22</v>
      </c>
      <c r="J547" s="14" t="s">
        <v>23</v>
      </c>
      <c r="K547" s="14">
        <v>92</v>
      </c>
      <c r="L547" s="15">
        <v>30</v>
      </c>
      <c r="M547" s="15">
        <f t="shared" si="8"/>
        <v>2760</v>
      </c>
      <c r="N547" s="16" t="s">
        <v>19</v>
      </c>
    </row>
    <row r="548" spans="1:14" ht="16.5" customHeight="1" x14ac:dyDescent="0.2">
      <c r="A548" s="7">
        <v>547</v>
      </c>
      <c r="B548" s="8" t="s">
        <v>81</v>
      </c>
      <c r="C548" s="9" t="s">
        <v>32</v>
      </c>
      <c r="D548" s="10">
        <v>39458</v>
      </c>
      <c r="E548" s="11">
        <v>7171991640</v>
      </c>
      <c r="F548" s="12">
        <v>12</v>
      </c>
      <c r="G548" s="4" t="s">
        <v>79</v>
      </c>
      <c r="H548" s="13">
        <v>577</v>
      </c>
      <c r="I548" s="14" t="s">
        <v>47</v>
      </c>
      <c r="J548" s="14" t="s">
        <v>18</v>
      </c>
      <c r="K548" s="14">
        <v>76</v>
      </c>
      <c r="L548" s="15">
        <v>40</v>
      </c>
      <c r="M548" s="15">
        <f t="shared" si="8"/>
        <v>3040</v>
      </c>
      <c r="N548" s="14" t="s">
        <v>30</v>
      </c>
    </row>
    <row r="549" spans="1:14" ht="16.5" customHeight="1" x14ac:dyDescent="0.2">
      <c r="A549" s="7">
        <v>548</v>
      </c>
      <c r="B549" s="8" t="s">
        <v>78</v>
      </c>
      <c r="C549" s="9" t="s">
        <v>32</v>
      </c>
      <c r="D549" s="10">
        <v>35390</v>
      </c>
      <c r="E549" s="11">
        <v>7605138404</v>
      </c>
      <c r="F549" s="12">
        <v>12</v>
      </c>
      <c r="G549" s="4" t="s">
        <v>79</v>
      </c>
      <c r="H549" s="13">
        <v>359</v>
      </c>
      <c r="I549" s="14" t="s">
        <v>17</v>
      </c>
      <c r="J549" s="14" t="s">
        <v>18</v>
      </c>
      <c r="K549" s="14">
        <v>89</v>
      </c>
      <c r="L549" s="15">
        <v>25</v>
      </c>
      <c r="M549" s="15">
        <f t="shared" si="8"/>
        <v>2225</v>
      </c>
      <c r="N549" s="16" t="s">
        <v>19</v>
      </c>
    </row>
    <row r="550" spans="1:14" ht="16.5" customHeight="1" x14ac:dyDescent="0.2">
      <c r="A550" s="7">
        <v>549</v>
      </c>
      <c r="B550" s="8" t="s">
        <v>78</v>
      </c>
      <c r="C550" s="9" t="s">
        <v>32</v>
      </c>
      <c r="D550" s="10">
        <v>35399</v>
      </c>
      <c r="E550" s="11">
        <v>7744399075</v>
      </c>
      <c r="F550" s="12">
        <v>12</v>
      </c>
      <c r="G550" s="4" t="s">
        <v>79</v>
      </c>
      <c r="H550" s="13">
        <v>534</v>
      </c>
      <c r="I550" s="14" t="s">
        <v>17</v>
      </c>
      <c r="J550" s="14" t="s">
        <v>18</v>
      </c>
      <c r="K550" s="14">
        <v>31</v>
      </c>
      <c r="L550" s="15">
        <v>25</v>
      </c>
      <c r="M550" s="15">
        <f t="shared" si="8"/>
        <v>775</v>
      </c>
      <c r="N550" s="16" t="s">
        <v>19</v>
      </c>
    </row>
    <row r="551" spans="1:14" ht="16.5" customHeight="1" x14ac:dyDescent="0.2">
      <c r="A551" s="7">
        <v>550</v>
      </c>
      <c r="B551" s="8" t="s">
        <v>78</v>
      </c>
      <c r="C551" s="9" t="s">
        <v>32</v>
      </c>
      <c r="D551" s="10">
        <v>35417</v>
      </c>
      <c r="E551" s="11">
        <v>3403582546</v>
      </c>
      <c r="F551" s="12">
        <v>12</v>
      </c>
      <c r="G551" s="4" t="s">
        <v>79</v>
      </c>
      <c r="H551" s="13">
        <v>568</v>
      </c>
      <c r="I551" s="14" t="s">
        <v>28</v>
      </c>
      <c r="J551" s="14" t="s">
        <v>29</v>
      </c>
      <c r="K551" s="14">
        <v>92</v>
      </c>
      <c r="L551" s="15">
        <v>1</v>
      </c>
      <c r="M551" s="15">
        <f t="shared" si="8"/>
        <v>92</v>
      </c>
      <c r="N551" s="16" t="s">
        <v>19</v>
      </c>
    </row>
    <row r="552" spans="1:14" ht="16.5" customHeight="1" x14ac:dyDescent="0.2">
      <c r="A552" s="7">
        <v>551</v>
      </c>
      <c r="B552" s="8" t="s">
        <v>78</v>
      </c>
      <c r="C552" s="9" t="s">
        <v>32</v>
      </c>
      <c r="D552" s="10">
        <v>35426</v>
      </c>
      <c r="E552" s="11">
        <v>8155932740</v>
      </c>
      <c r="F552" s="12">
        <v>12</v>
      </c>
      <c r="G552" s="4" t="s">
        <v>79</v>
      </c>
      <c r="H552" s="13">
        <v>240</v>
      </c>
      <c r="I552" s="14" t="s">
        <v>17</v>
      </c>
      <c r="J552" s="14" t="s">
        <v>18</v>
      </c>
      <c r="K552" s="14">
        <v>34</v>
      </c>
      <c r="L552" s="15">
        <v>45</v>
      </c>
      <c r="M552" s="15">
        <f t="shared" si="8"/>
        <v>1530</v>
      </c>
      <c r="N552" s="14" t="s">
        <v>25</v>
      </c>
    </row>
    <row r="553" spans="1:14" ht="16.5" customHeight="1" x14ac:dyDescent="0.2">
      <c r="A553" s="7">
        <v>552</v>
      </c>
      <c r="B553" s="8" t="s">
        <v>78</v>
      </c>
      <c r="C553" s="9" t="s">
        <v>32</v>
      </c>
      <c r="D553" s="10">
        <v>35435</v>
      </c>
      <c r="E553" s="11">
        <v>5632912822</v>
      </c>
      <c r="F553" s="12">
        <v>12</v>
      </c>
      <c r="G553" s="4" t="s">
        <v>79</v>
      </c>
      <c r="H553" s="13">
        <v>454</v>
      </c>
      <c r="I553" s="14" t="s">
        <v>38</v>
      </c>
      <c r="J553" s="14" t="s">
        <v>18</v>
      </c>
      <c r="K553" s="14">
        <v>95</v>
      </c>
      <c r="L553" s="15">
        <v>15</v>
      </c>
      <c r="M553" s="15">
        <f t="shared" si="8"/>
        <v>1425</v>
      </c>
      <c r="N553" s="14" t="s">
        <v>25</v>
      </c>
    </row>
    <row r="554" spans="1:14" ht="16.5" customHeight="1" x14ac:dyDescent="0.2">
      <c r="A554" s="7">
        <v>553</v>
      </c>
      <c r="B554" s="8" t="s">
        <v>78</v>
      </c>
      <c r="C554" s="9" t="s">
        <v>32</v>
      </c>
      <c r="D554" s="10">
        <v>36317</v>
      </c>
      <c r="E554" s="11">
        <v>7605138404</v>
      </c>
      <c r="F554" s="12">
        <v>12</v>
      </c>
      <c r="G554" s="4" t="s">
        <v>79</v>
      </c>
      <c r="H554" s="13">
        <v>359</v>
      </c>
      <c r="I554" s="14" t="s">
        <v>17</v>
      </c>
      <c r="J554" s="14" t="s">
        <v>18</v>
      </c>
      <c r="K554" s="14">
        <v>44</v>
      </c>
      <c r="L554" s="15">
        <v>25</v>
      </c>
      <c r="M554" s="15">
        <f t="shared" si="8"/>
        <v>1100</v>
      </c>
      <c r="N554" s="16" t="s">
        <v>19</v>
      </c>
    </row>
    <row r="555" spans="1:14" ht="16.5" customHeight="1" x14ac:dyDescent="0.2">
      <c r="A555" s="7">
        <v>554</v>
      </c>
      <c r="B555" s="8" t="s">
        <v>78</v>
      </c>
      <c r="C555" s="9" t="s">
        <v>32</v>
      </c>
      <c r="D555" s="10">
        <v>36326</v>
      </c>
      <c r="E555" s="11">
        <v>7744399075</v>
      </c>
      <c r="F555" s="12">
        <v>12</v>
      </c>
      <c r="G555" s="4" t="s">
        <v>79</v>
      </c>
      <c r="H555" s="13">
        <v>534</v>
      </c>
      <c r="I555" s="14" t="s">
        <v>17</v>
      </c>
      <c r="J555" s="14" t="s">
        <v>18</v>
      </c>
      <c r="K555" s="14">
        <v>15</v>
      </c>
      <c r="L555" s="15">
        <v>25</v>
      </c>
      <c r="M555" s="15">
        <f t="shared" si="8"/>
        <v>375</v>
      </c>
      <c r="N555" s="16" t="s">
        <v>19</v>
      </c>
    </row>
    <row r="556" spans="1:14" ht="16.5" customHeight="1" x14ac:dyDescent="0.2">
      <c r="A556" s="7">
        <v>555</v>
      </c>
      <c r="B556" s="8" t="s">
        <v>78</v>
      </c>
      <c r="C556" s="9" t="s">
        <v>32</v>
      </c>
      <c r="D556" s="10">
        <v>36344</v>
      </c>
      <c r="E556" s="11">
        <v>3403582546</v>
      </c>
      <c r="F556" s="12">
        <v>12</v>
      </c>
      <c r="G556" s="4" t="s">
        <v>79</v>
      </c>
      <c r="H556" s="13">
        <v>568</v>
      </c>
      <c r="I556" s="14" t="s">
        <v>28</v>
      </c>
      <c r="J556" s="14" t="s">
        <v>29</v>
      </c>
      <c r="K556" s="14">
        <v>45</v>
      </c>
      <c r="L556" s="15">
        <v>1</v>
      </c>
      <c r="M556" s="15">
        <f t="shared" si="8"/>
        <v>45</v>
      </c>
      <c r="N556" s="16" t="s">
        <v>19</v>
      </c>
    </row>
    <row r="557" spans="1:14" ht="16.5" customHeight="1" x14ac:dyDescent="0.2">
      <c r="A557" s="7">
        <v>556</v>
      </c>
      <c r="B557" s="8" t="s">
        <v>78</v>
      </c>
      <c r="C557" s="9" t="s">
        <v>32</v>
      </c>
      <c r="D557" s="10">
        <v>36353</v>
      </c>
      <c r="E557" s="11">
        <v>8155932740</v>
      </c>
      <c r="F557" s="12">
        <v>12</v>
      </c>
      <c r="G557" s="4" t="s">
        <v>79</v>
      </c>
      <c r="H557" s="13">
        <v>240</v>
      </c>
      <c r="I557" s="14" t="s">
        <v>17</v>
      </c>
      <c r="J557" s="14" t="s">
        <v>18</v>
      </c>
      <c r="K557" s="14">
        <v>77</v>
      </c>
      <c r="L557" s="15">
        <v>45</v>
      </c>
      <c r="M557" s="15">
        <f t="shared" si="8"/>
        <v>3465</v>
      </c>
      <c r="N557" s="14" t="s">
        <v>25</v>
      </c>
    </row>
    <row r="558" spans="1:14" ht="16.5" customHeight="1" x14ac:dyDescent="0.2">
      <c r="A558" s="7">
        <v>557</v>
      </c>
      <c r="B558" s="8" t="s">
        <v>78</v>
      </c>
      <c r="C558" s="9" t="s">
        <v>32</v>
      </c>
      <c r="D558" s="10">
        <v>36362</v>
      </c>
      <c r="E558" s="11">
        <v>5632912822</v>
      </c>
      <c r="F558" s="12">
        <v>12</v>
      </c>
      <c r="G558" s="4" t="s">
        <v>79</v>
      </c>
      <c r="H558" s="13">
        <v>454</v>
      </c>
      <c r="I558" s="14" t="s">
        <v>38</v>
      </c>
      <c r="J558" s="14" t="s">
        <v>18</v>
      </c>
      <c r="K558" s="14">
        <v>92</v>
      </c>
      <c r="L558" s="15">
        <v>15</v>
      </c>
      <c r="M558" s="15">
        <f t="shared" si="8"/>
        <v>1380</v>
      </c>
      <c r="N558" s="14" t="s">
        <v>25</v>
      </c>
    </row>
    <row r="559" spans="1:14" ht="16.5" customHeight="1" x14ac:dyDescent="0.2">
      <c r="A559" s="7">
        <v>558</v>
      </c>
      <c r="B559" s="8" t="s">
        <v>78</v>
      </c>
      <c r="C559" s="9" t="s">
        <v>32</v>
      </c>
      <c r="D559" s="10">
        <v>37244</v>
      </c>
      <c r="E559" s="11">
        <v>7605138404</v>
      </c>
      <c r="F559" s="12">
        <v>12</v>
      </c>
      <c r="G559" s="4" t="s">
        <v>79</v>
      </c>
      <c r="H559" s="13">
        <v>359</v>
      </c>
      <c r="I559" s="14" t="s">
        <v>17</v>
      </c>
      <c r="J559" s="14" t="s">
        <v>18</v>
      </c>
      <c r="K559" s="14">
        <v>49</v>
      </c>
      <c r="L559" s="15">
        <v>25</v>
      </c>
      <c r="M559" s="15">
        <f t="shared" si="8"/>
        <v>1225</v>
      </c>
      <c r="N559" s="16" t="s">
        <v>19</v>
      </c>
    </row>
    <row r="560" spans="1:14" ht="16.5" customHeight="1" x14ac:dyDescent="0.2">
      <c r="A560" s="7">
        <v>559</v>
      </c>
      <c r="B560" s="8" t="s">
        <v>78</v>
      </c>
      <c r="C560" s="9" t="s">
        <v>32</v>
      </c>
      <c r="D560" s="10">
        <v>37253</v>
      </c>
      <c r="E560" s="11">
        <v>7744399075</v>
      </c>
      <c r="F560" s="12">
        <v>12</v>
      </c>
      <c r="G560" s="4" t="s">
        <v>79</v>
      </c>
      <c r="H560" s="13">
        <v>534</v>
      </c>
      <c r="I560" s="14" t="s">
        <v>17</v>
      </c>
      <c r="J560" s="14" t="s">
        <v>18</v>
      </c>
      <c r="K560" s="14">
        <v>93</v>
      </c>
      <c r="L560" s="15">
        <v>25</v>
      </c>
      <c r="M560" s="15">
        <f t="shared" si="8"/>
        <v>2325</v>
      </c>
      <c r="N560" s="16" t="s">
        <v>19</v>
      </c>
    </row>
    <row r="561" spans="1:14" ht="16.5" customHeight="1" x14ac:dyDescent="0.2">
      <c r="A561" s="7">
        <v>560</v>
      </c>
      <c r="B561" s="8" t="s">
        <v>78</v>
      </c>
      <c r="C561" s="9" t="s">
        <v>32</v>
      </c>
      <c r="D561" s="10">
        <v>37271</v>
      </c>
      <c r="E561" s="11">
        <v>3403582546</v>
      </c>
      <c r="F561" s="12">
        <v>12</v>
      </c>
      <c r="G561" s="4" t="s">
        <v>79</v>
      </c>
      <c r="H561" s="13">
        <v>568</v>
      </c>
      <c r="I561" s="14" t="s">
        <v>28</v>
      </c>
      <c r="J561" s="14" t="s">
        <v>29</v>
      </c>
      <c r="K561" s="14">
        <v>80</v>
      </c>
      <c r="L561" s="15">
        <v>1</v>
      </c>
      <c r="M561" s="15">
        <f t="shared" si="8"/>
        <v>80</v>
      </c>
      <c r="N561" s="16" t="s">
        <v>19</v>
      </c>
    </row>
    <row r="562" spans="1:14" ht="16.5" customHeight="1" x14ac:dyDescent="0.2">
      <c r="A562" s="7">
        <v>561</v>
      </c>
      <c r="B562" s="8" t="s">
        <v>78</v>
      </c>
      <c r="C562" s="9" t="s">
        <v>32</v>
      </c>
      <c r="D562" s="10">
        <v>37280</v>
      </c>
      <c r="E562" s="11">
        <v>8155932740</v>
      </c>
      <c r="F562" s="12">
        <v>12</v>
      </c>
      <c r="G562" s="4" t="s">
        <v>79</v>
      </c>
      <c r="H562" s="13">
        <v>240</v>
      </c>
      <c r="I562" s="14" t="s">
        <v>17</v>
      </c>
      <c r="J562" s="14" t="s">
        <v>18</v>
      </c>
      <c r="K562" s="14">
        <v>15</v>
      </c>
      <c r="L562" s="15">
        <v>45</v>
      </c>
      <c r="M562" s="15">
        <f t="shared" si="8"/>
        <v>675</v>
      </c>
      <c r="N562" s="14" t="s">
        <v>25</v>
      </c>
    </row>
    <row r="563" spans="1:14" ht="16.5" customHeight="1" x14ac:dyDescent="0.2">
      <c r="A563" s="7">
        <v>562</v>
      </c>
      <c r="B563" s="8" t="s">
        <v>78</v>
      </c>
      <c r="C563" s="9" t="s">
        <v>32</v>
      </c>
      <c r="D563" s="10">
        <v>37289</v>
      </c>
      <c r="E563" s="11">
        <v>5632912822</v>
      </c>
      <c r="F563" s="12">
        <v>12</v>
      </c>
      <c r="G563" s="4" t="s">
        <v>79</v>
      </c>
      <c r="H563" s="13">
        <v>454</v>
      </c>
      <c r="I563" s="14" t="s">
        <v>38</v>
      </c>
      <c r="J563" s="14" t="s">
        <v>18</v>
      </c>
      <c r="K563" s="14">
        <v>92</v>
      </c>
      <c r="L563" s="15">
        <v>15</v>
      </c>
      <c r="M563" s="15">
        <f t="shared" si="8"/>
        <v>1380</v>
      </c>
      <c r="N563" s="14" t="s">
        <v>25</v>
      </c>
    </row>
    <row r="564" spans="1:14" ht="16.5" customHeight="1" x14ac:dyDescent="0.2">
      <c r="A564" s="7">
        <v>563</v>
      </c>
      <c r="B564" s="8" t="s">
        <v>78</v>
      </c>
      <c r="C564" s="9" t="s">
        <v>32</v>
      </c>
      <c r="D564" s="10">
        <v>38171</v>
      </c>
      <c r="E564" s="11">
        <v>7605138404</v>
      </c>
      <c r="F564" s="12">
        <v>12</v>
      </c>
      <c r="G564" s="4" t="s">
        <v>79</v>
      </c>
      <c r="H564" s="13">
        <v>359</v>
      </c>
      <c r="I564" s="14" t="s">
        <v>17</v>
      </c>
      <c r="J564" s="14" t="s">
        <v>18</v>
      </c>
      <c r="K564" s="14">
        <v>46</v>
      </c>
      <c r="L564" s="15">
        <v>25</v>
      </c>
      <c r="M564" s="15">
        <f t="shared" si="8"/>
        <v>1150</v>
      </c>
      <c r="N564" s="16" t="s">
        <v>19</v>
      </c>
    </row>
    <row r="565" spans="1:14" ht="16.5" customHeight="1" x14ac:dyDescent="0.2">
      <c r="A565" s="7">
        <v>564</v>
      </c>
      <c r="B565" s="8" t="s">
        <v>78</v>
      </c>
      <c r="C565" s="9" t="s">
        <v>32</v>
      </c>
      <c r="D565" s="10">
        <v>38180</v>
      </c>
      <c r="E565" s="11">
        <v>7744399075</v>
      </c>
      <c r="F565" s="12">
        <v>12</v>
      </c>
      <c r="G565" s="4" t="s">
        <v>79</v>
      </c>
      <c r="H565" s="13">
        <v>534</v>
      </c>
      <c r="I565" s="14" t="s">
        <v>17</v>
      </c>
      <c r="J565" s="14" t="s">
        <v>18</v>
      </c>
      <c r="K565" s="14">
        <v>25</v>
      </c>
      <c r="L565" s="15">
        <v>25</v>
      </c>
      <c r="M565" s="15">
        <f t="shared" si="8"/>
        <v>625</v>
      </c>
      <c r="N565" s="16" t="s">
        <v>19</v>
      </c>
    </row>
    <row r="566" spans="1:14" ht="16.5" customHeight="1" x14ac:dyDescent="0.2">
      <c r="A566" s="7">
        <v>565</v>
      </c>
      <c r="B566" s="8" t="s">
        <v>78</v>
      </c>
      <c r="C566" s="9" t="s">
        <v>32</v>
      </c>
      <c r="D566" s="10">
        <v>38198</v>
      </c>
      <c r="E566" s="11">
        <v>3403582546</v>
      </c>
      <c r="F566" s="12">
        <v>12</v>
      </c>
      <c r="G566" s="4" t="s">
        <v>79</v>
      </c>
      <c r="H566" s="13">
        <v>568</v>
      </c>
      <c r="I566" s="14" t="s">
        <v>28</v>
      </c>
      <c r="J566" s="14" t="s">
        <v>29</v>
      </c>
      <c r="K566" s="14">
        <v>26</v>
      </c>
      <c r="L566" s="15">
        <v>1</v>
      </c>
      <c r="M566" s="15">
        <f t="shared" si="8"/>
        <v>26</v>
      </c>
      <c r="N566" s="16" t="s">
        <v>19</v>
      </c>
    </row>
    <row r="567" spans="1:14" ht="16.5" customHeight="1" x14ac:dyDescent="0.2">
      <c r="A567" s="7">
        <v>566</v>
      </c>
      <c r="B567" s="8" t="s">
        <v>78</v>
      </c>
      <c r="C567" s="9" t="s">
        <v>32</v>
      </c>
      <c r="D567" s="10">
        <v>38207</v>
      </c>
      <c r="E567" s="11">
        <v>8155932740</v>
      </c>
      <c r="F567" s="12">
        <v>12</v>
      </c>
      <c r="G567" s="4" t="s">
        <v>79</v>
      </c>
      <c r="H567" s="13">
        <v>240</v>
      </c>
      <c r="I567" s="14" t="s">
        <v>17</v>
      </c>
      <c r="J567" s="14" t="s">
        <v>18</v>
      </c>
      <c r="K567" s="14">
        <v>70</v>
      </c>
      <c r="L567" s="15">
        <v>45</v>
      </c>
      <c r="M567" s="15">
        <f t="shared" si="8"/>
        <v>3150</v>
      </c>
      <c r="N567" s="14" t="s">
        <v>25</v>
      </c>
    </row>
    <row r="568" spans="1:14" ht="16.5" customHeight="1" x14ac:dyDescent="0.2">
      <c r="A568" s="7">
        <v>567</v>
      </c>
      <c r="B568" s="8" t="s">
        <v>78</v>
      </c>
      <c r="C568" s="9" t="s">
        <v>32</v>
      </c>
      <c r="D568" s="10">
        <v>38216</v>
      </c>
      <c r="E568" s="11">
        <v>5632912822</v>
      </c>
      <c r="F568" s="12">
        <v>12</v>
      </c>
      <c r="G568" s="4" t="s">
        <v>79</v>
      </c>
      <c r="H568" s="13">
        <v>454</v>
      </c>
      <c r="I568" s="14" t="s">
        <v>38</v>
      </c>
      <c r="J568" s="14" t="s">
        <v>18</v>
      </c>
      <c r="K568" s="14">
        <v>35</v>
      </c>
      <c r="L568" s="15">
        <v>15</v>
      </c>
      <c r="M568" s="15">
        <f t="shared" si="8"/>
        <v>525</v>
      </c>
      <c r="N568" s="14" t="s">
        <v>25</v>
      </c>
    </row>
    <row r="569" spans="1:14" ht="16.5" customHeight="1" x14ac:dyDescent="0.2">
      <c r="A569" s="7">
        <v>568</v>
      </c>
      <c r="B569" s="8" t="s">
        <v>78</v>
      </c>
      <c r="C569" s="9" t="s">
        <v>32</v>
      </c>
      <c r="D569" s="10">
        <v>39098</v>
      </c>
      <c r="E569" s="11">
        <v>7605138404</v>
      </c>
      <c r="F569" s="12">
        <v>12</v>
      </c>
      <c r="G569" s="4" t="s">
        <v>79</v>
      </c>
      <c r="H569" s="13">
        <v>359</v>
      </c>
      <c r="I569" s="14" t="s">
        <v>17</v>
      </c>
      <c r="J569" s="14" t="s">
        <v>18</v>
      </c>
      <c r="K569" s="14">
        <v>47</v>
      </c>
      <c r="L569" s="15">
        <v>25</v>
      </c>
      <c r="M569" s="15">
        <f t="shared" si="8"/>
        <v>1175</v>
      </c>
      <c r="N569" s="16" t="s">
        <v>19</v>
      </c>
    </row>
    <row r="570" spans="1:14" ht="16.5" customHeight="1" x14ac:dyDescent="0.2">
      <c r="A570" s="7">
        <v>569</v>
      </c>
      <c r="B570" s="8" t="s">
        <v>78</v>
      </c>
      <c r="C570" s="9" t="s">
        <v>32</v>
      </c>
      <c r="D570" s="10">
        <v>39107</v>
      </c>
      <c r="E570" s="11">
        <v>7744399075</v>
      </c>
      <c r="F570" s="12">
        <v>12</v>
      </c>
      <c r="G570" s="4" t="s">
        <v>79</v>
      </c>
      <c r="H570" s="13">
        <v>534</v>
      </c>
      <c r="I570" s="14" t="s">
        <v>17</v>
      </c>
      <c r="J570" s="14" t="s">
        <v>18</v>
      </c>
      <c r="K570" s="14">
        <v>41</v>
      </c>
      <c r="L570" s="15">
        <v>25</v>
      </c>
      <c r="M570" s="15">
        <f t="shared" si="8"/>
        <v>1025</v>
      </c>
      <c r="N570" s="16" t="s">
        <v>19</v>
      </c>
    </row>
    <row r="571" spans="1:14" ht="16.5" customHeight="1" x14ac:dyDescent="0.2">
      <c r="A571" s="7">
        <v>570</v>
      </c>
      <c r="B571" s="8" t="s">
        <v>78</v>
      </c>
      <c r="C571" s="9" t="s">
        <v>32</v>
      </c>
      <c r="D571" s="10">
        <v>39125</v>
      </c>
      <c r="E571" s="11">
        <v>3403582546</v>
      </c>
      <c r="F571" s="12">
        <v>12</v>
      </c>
      <c r="G571" s="4" t="s">
        <v>79</v>
      </c>
      <c r="H571" s="13">
        <v>568</v>
      </c>
      <c r="I571" s="14" t="s">
        <v>28</v>
      </c>
      <c r="J571" s="14" t="s">
        <v>29</v>
      </c>
      <c r="K571" s="14">
        <v>75</v>
      </c>
      <c r="L571" s="15">
        <v>1</v>
      </c>
      <c r="M571" s="15">
        <f t="shared" si="8"/>
        <v>75</v>
      </c>
      <c r="N571" s="16" t="s">
        <v>19</v>
      </c>
    </row>
    <row r="572" spans="1:14" ht="16.5" customHeight="1" x14ac:dyDescent="0.2">
      <c r="A572" s="7">
        <v>571</v>
      </c>
      <c r="B572" s="8" t="s">
        <v>78</v>
      </c>
      <c r="C572" s="9" t="s">
        <v>32</v>
      </c>
      <c r="D572" s="10">
        <v>39134</v>
      </c>
      <c r="E572" s="11">
        <v>8155932740</v>
      </c>
      <c r="F572" s="12">
        <v>12</v>
      </c>
      <c r="G572" s="4" t="s">
        <v>79</v>
      </c>
      <c r="H572" s="13">
        <v>240</v>
      </c>
      <c r="I572" s="14" t="s">
        <v>17</v>
      </c>
      <c r="J572" s="14" t="s">
        <v>18</v>
      </c>
      <c r="K572" s="14">
        <v>39</v>
      </c>
      <c r="L572" s="15">
        <v>45</v>
      </c>
      <c r="M572" s="15">
        <f t="shared" si="8"/>
        <v>1755</v>
      </c>
      <c r="N572" s="14" t="s">
        <v>25</v>
      </c>
    </row>
    <row r="573" spans="1:14" ht="16.5" customHeight="1" x14ac:dyDescent="0.2">
      <c r="A573" s="7">
        <v>572</v>
      </c>
      <c r="B573" s="8" t="s">
        <v>78</v>
      </c>
      <c r="C573" s="9" t="s">
        <v>32</v>
      </c>
      <c r="D573" s="10">
        <v>39143</v>
      </c>
      <c r="E573" s="11">
        <v>5632912822</v>
      </c>
      <c r="F573" s="12">
        <v>12</v>
      </c>
      <c r="G573" s="4" t="s">
        <v>79</v>
      </c>
      <c r="H573" s="13">
        <v>454</v>
      </c>
      <c r="I573" s="14" t="s">
        <v>38</v>
      </c>
      <c r="J573" s="14" t="s">
        <v>18</v>
      </c>
      <c r="K573" s="14">
        <v>14</v>
      </c>
      <c r="L573" s="15">
        <v>15</v>
      </c>
      <c r="M573" s="15">
        <f t="shared" si="8"/>
        <v>210</v>
      </c>
      <c r="N573" s="14" t="s">
        <v>25</v>
      </c>
    </row>
    <row r="574" spans="1:14" ht="16.5" customHeight="1" x14ac:dyDescent="0.2">
      <c r="A574" s="7">
        <v>573</v>
      </c>
      <c r="B574" s="8" t="s">
        <v>78</v>
      </c>
      <c r="C574" s="9" t="s">
        <v>32</v>
      </c>
      <c r="D574" s="10">
        <v>40025</v>
      </c>
      <c r="E574" s="11">
        <v>7605138404</v>
      </c>
      <c r="F574" s="12">
        <v>12</v>
      </c>
      <c r="G574" s="4" t="s">
        <v>79</v>
      </c>
      <c r="H574" s="13">
        <v>359</v>
      </c>
      <c r="I574" s="14" t="s">
        <v>17</v>
      </c>
      <c r="J574" s="14" t="s">
        <v>18</v>
      </c>
      <c r="K574" s="14">
        <v>33</v>
      </c>
      <c r="L574" s="15">
        <v>25</v>
      </c>
      <c r="M574" s="15">
        <f t="shared" si="8"/>
        <v>825</v>
      </c>
      <c r="N574" s="16" t="s">
        <v>19</v>
      </c>
    </row>
    <row r="575" spans="1:14" ht="16.5" customHeight="1" x14ac:dyDescent="0.2">
      <c r="A575" s="7">
        <v>574</v>
      </c>
      <c r="B575" s="8" t="s">
        <v>78</v>
      </c>
      <c r="C575" s="9" t="s">
        <v>32</v>
      </c>
      <c r="D575" s="10">
        <v>40034</v>
      </c>
      <c r="E575" s="11">
        <v>7744399075</v>
      </c>
      <c r="F575" s="12">
        <v>12</v>
      </c>
      <c r="G575" s="4" t="s">
        <v>79</v>
      </c>
      <c r="H575" s="13">
        <v>534</v>
      </c>
      <c r="I575" s="14" t="s">
        <v>17</v>
      </c>
      <c r="J575" s="14" t="s">
        <v>18</v>
      </c>
      <c r="K575" s="14">
        <v>65</v>
      </c>
      <c r="L575" s="15">
        <v>25</v>
      </c>
      <c r="M575" s="15">
        <f t="shared" si="8"/>
        <v>1625</v>
      </c>
      <c r="N575" s="16" t="s">
        <v>19</v>
      </c>
    </row>
    <row r="576" spans="1:14" ht="16.5" customHeight="1" x14ac:dyDescent="0.2">
      <c r="A576" s="7">
        <v>575</v>
      </c>
      <c r="B576" s="8" t="s">
        <v>78</v>
      </c>
      <c r="C576" s="9" t="s">
        <v>32</v>
      </c>
      <c r="D576" s="10">
        <v>40052</v>
      </c>
      <c r="E576" s="11">
        <v>3403582546</v>
      </c>
      <c r="F576" s="12">
        <v>12</v>
      </c>
      <c r="G576" s="4" t="s">
        <v>79</v>
      </c>
      <c r="H576" s="13">
        <v>568</v>
      </c>
      <c r="I576" s="14" t="s">
        <v>28</v>
      </c>
      <c r="J576" s="14" t="s">
        <v>29</v>
      </c>
      <c r="K576" s="14">
        <v>32</v>
      </c>
      <c r="L576" s="15">
        <v>1</v>
      </c>
      <c r="M576" s="15">
        <f t="shared" si="8"/>
        <v>32</v>
      </c>
      <c r="N576" s="16" t="s">
        <v>19</v>
      </c>
    </row>
    <row r="577" spans="1:14" ht="16.5" customHeight="1" x14ac:dyDescent="0.2">
      <c r="A577" s="7">
        <v>576</v>
      </c>
      <c r="B577" s="8" t="s">
        <v>78</v>
      </c>
      <c r="C577" s="9" t="s">
        <v>32</v>
      </c>
      <c r="D577" s="10">
        <v>40061</v>
      </c>
      <c r="E577" s="11">
        <v>8155932740</v>
      </c>
      <c r="F577" s="12">
        <v>12</v>
      </c>
      <c r="G577" s="4" t="s">
        <v>79</v>
      </c>
      <c r="H577" s="13">
        <v>240</v>
      </c>
      <c r="I577" s="14" t="s">
        <v>17</v>
      </c>
      <c r="J577" s="14" t="s">
        <v>18</v>
      </c>
      <c r="K577" s="14">
        <v>43</v>
      </c>
      <c r="L577" s="15">
        <v>45</v>
      </c>
      <c r="M577" s="15">
        <f t="shared" si="8"/>
        <v>1935</v>
      </c>
      <c r="N577" s="14" t="s">
        <v>25</v>
      </c>
    </row>
    <row r="578" spans="1:14" ht="16.5" customHeight="1" x14ac:dyDescent="0.2">
      <c r="A578" s="7">
        <v>577</v>
      </c>
      <c r="B578" s="8" t="s">
        <v>78</v>
      </c>
      <c r="C578" s="9" t="s">
        <v>32</v>
      </c>
      <c r="D578" s="10">
        <v>40070</v>
      </c>
      <c r="E578" s="11">
        <v>5632912822</v>
      </c>
      <c r="F578" s="12">
        <v>12</v>
      </c>
      <c r="G578" s="4" t="s">
        <v>79</v>
      </c>
      <c r="H578" s="13">
        <v>454</v>
      </c>
      <c r="I578" s="14" t="s">
        <v>38</v>
      </c>
      <c r="J578" s="14" t="s">
        <v>18</v>
      </c>
      <c r="K578" s="14">
        <v>71</v>
      </c>
      <c r="L578" s="15">
        <v>15</v>
      </c>
      <c r="M578" s="15">
        <f t="shared" ref="M578:M620" si="9">L578*K578</f>
        <v>1065</v>
      </c>
      <c r="N578" s="14" t="s">
        <v>25</v>
      </c>
    </row>
    <row r="579" spans="1:14" ht="16.5" customHeight="1" x14ac:dyDescent="0.2">
      <c r="A579" s="7">
        <v>578</v>
      </c>
      <c r="B579" s="8" t="s">
        <v>43</v>
      </c>
      <c r="C579" s="9" t="s">
        <v>42</v>
      </c>
      <c r="D579" s="10">
        <v>35210</v>
      </c>
      <c r="E579" s="11">
        <v>824212655</v>
      </c>
      <c r="F579" s="12">
        <v>23</v>
      </c>
      <c r="G579" s="4" t="s">
        <v>82</v>
      </c>
      <c r="H579" s="13">
        <v>909</v>
      </c>
      <c r="I579" s="14" t="s">
        <v>24</v>
      </c>
      <c r="J579" s="14" t="s">
        <v>18</v>
      </c>
      <c r="K579" s="14">
        <v>49</v>
      </c>
      <c r="L579" s="15">
        <v>50</v>
      </c>
      <c r="M579" s="15">
        <f t="shared" si="9"/>
        <v>2450</v>
      </c>
      <c r="N579" s="14" t="s">
        <v>30</v>
      </c>
    </row>
    <row r="580" spans="1:14" ht="16.5" customHeight="1" x14ac:dyDescent="0.2">
      <c r="A580" s="7">
        <v>579</v>
      </c>
      <c r="B580" s="8" t="s">
        <v>43</v>
      </c>
      <c r="C580" s="9" t="s">
        <v>42</v>
      </c>
      <c r="D580" s="10">
        <v>36137</v>
      </c>
      <c r="E580" s="11">
        <v>824212655</v>
      </c>
      <c r="F580" s="12">
        <v>23</v>
      </c>
      <c r="G580" s="4" t="s">
        <v>82</v>
      </c>
      <c r="H580" s="13">
        <v>909</v>
      </c>
      <c r="I580" s="14" t="s">
        <v>24</v>
      </c>
      <c r="J580" s="14" t="s">
        <v>18</v>
      </c>
      <c r="K580" s="14">
        <v>96</v>
      </c>
      <c r="L580" s="15">
        <v>50</v>
      </c>
      <c r="M580" s="15">
        <f t="shared" si="9"/>
        <v>4800</v>
      </c>
      <c r="N580" s="14" t="s">
        <v>30</v>
      </c>
    </row>
    <row r="581" spans="1:14" ht="16.5" customHeight="1" x14ac:dyDescent="0.2">
      <c r="A581" s="7">
        <v>580</v>
      </c>
      <c r="B581" s="8" t="s">
        <v>43</v>
      </c>
      <c r="C581" s="9" t="s">
        <v>42</v>
      </c>
      <c r="D581" s="10">
        <v>37064</v>
      </c>
      <c r="E581" s="11">
        <v>824212655</v>
      </c>
      <c r="F581" s="12">
        <v>23</v>
      </c>
      <c r="G581" s="4" t="s">
        <v>82</v>
      </c>
      <c r="H581" s="13">
        <v>909</v>
      </c>
      <c r="I581" s="14" t="s">
        <v>24</v>
      </c>
      <c r="J581" s="14" t="s">
        <v>18</v>
      </c>
      <c r="K581" s="14">
        <v>86</v>
      </c>
      <c r="L581" s="15">
        <v>50</v>
      </c>
      <c r="M581" s="15">
        <f t="shared" si="9"/>
        <v>4300</v>
      </c>
      <c r="N581" s="14" t="s">
        <v>30</v>
      </c>
    </row>
    <row r="582" spans="1:14" ht="16.5" customHeight="1" x14ac:dyDescent="0.2">
      <c r="A582" s="7">
        <v>581</v>
      </c>
      <c r="B582" s="8" t="s">
        <v>43</v>
      </c>
      <c r="C582" s="9" t="s">
        <v>42</v>
      </c>
      <c r="D582" s="10">
        <v>37991</v>
      </c>
      <c r="E582" s="11">
        <v>824212655</v>
      </c>
      <c r="F582" s="12">
        <v>23</v>
      </c>
      <c r="G582" s="4" t="s">
        <v>82</v>
      </c>
      <c r="H582" s="13">
        <v>909</v>
      </c>
      <c r="I582" s="14" t="s">
        <v>24</v>
      </c>
      <c r="J582" s="14" t="s">
        <v>18</v>
      </c>
      <c r="K582" s="14">
        <v>36</v>
      </c>
      <c r="L582" s="15">
        <v>50</v>
      </c>
      <c r="M582" s="15">
        <f t="shared" si="9"/>
        <v>1800</v>
      </c>
      <c r="N582" s="14" t="s">
        <v>30</v>
      </c>
    </row>
    <row r="583" spans="1:14" ht="16.5" customHeight="1" x14ac:dyDescent="0.2">
      <c r="A583" s="7">
        <v>582</v>
      </c>
      <c r="B583" s="8" t="s">
        <v>43</v>
      </c>
      <c r="C583" s="9" t="s">
        <v>42</v>
      </c>
      <c r="D583" s="10">
        <v>38918</v>
      </c>
      <c r="E583" s="11">
        <v>824212655</v>
      </c>
      <c r="F583" s="12">
        <v>23</v>
      </c>
      <c r="G583" s="4" t="s">
        <v>82</v>
      </c>
      <c r="H583" s="13">
        <v>909</v>
      </c>
      <c r="I583" s="14" t="s">
        <v>24</v>
      </c>
      <c r="J583" s="14" t="s">
        <v>18</v>
      </c>
      <c r="K583" s="14">
        <v>47</v>
      </c>
      <c r="L583" s="15">
        <v>50</v>
      </c>
      <c r="M583" s="15">
        <f t="shared" si="9"/>
        <v>2350</v>
      </c>
      <c r="N583" s="14" t="s">
        <v>30</v>
      </c>
    </row>
    <row r="584" spans="1:14" ht="16.5" customHeight="1" x14ac:dyDescent="0.2">
      <c r="A584" s="7">
        <v>583</v>
      </c>
      <c r="B584" s="8" t="s">
        <v>43</v>
      </c>
      <c r="C584" s="9" t="s">
        <v>42</v>
      </c>
      <c r="D584" s="10">
        <v>39845</v>
      </c>
      <c r="E584" s="11">
        <v>824212655</v>
      </c>
      <c r="F584" s="12">
        <v>23</v>
      </c>
      <c r="G584" s="4" t="s">
        <v>82</v>
      </c>
      <c r="H584" s="13">
        <v>909</v>
      </c>
      <c r="I584" s="14" t="s">
        <v>24</v>
      </c>
      <c r="J584" s="14" t="s">
        <v>18</v>
      </c>
      <c r="K584" s="14">
        <v>41</v>
      </c>
      <c r="L584" s="15">
        <v>50</v>
      </c>
      <c r="M584" s="15">
        <f t="shared" si="9"/>
        <v>2050</v>
      </c>
      <c r="N584" s="14" t="s">
        <v>30</v>
      </c>
    </row>
    <row r="585" spans="1:14" ht="16.5" customHeight="1" x14ac:dyDescent="0.2">
      <c r="A585" s="7">
        <v>584</v>
      </c>
      <c r="B585" s="8" t="s">
        <v>70</v>
      </c>
      <c r="C585" s="9" t="s">
        <v>32</v>
      </c>
      <c r="D585" s="10">
        <v>34715</v>
      </c>
      <c r="E585" s="11">
        <v>4769619714</v>
      </c>
      <c r="F585" s="12">
        <v>19</v>
      </c>
      <c r="G585" s="4" t="s">
        <v>83</v>
      </c>
      <c r="H585" s="13">
        <v>353</v>
      </c>
      <c r="I585" s="14" t="s">
        <v>22</v>
      </c>
      <c r="J585" s="14" t="s">
        <v>23</v>
      </c>
      <c r="K585" s="14">
        <v>11</v>
      </c>
      <c r="L585" s="15">
        <v>40</v>
      </c>
      <c r="M585" s="15">
        <f t="shared" si="9"/>
        <v>440</v>
      </c>
      <c r="N585" s="14" t="s">
        <v>30</v>
      </c>
    </row>
    <row r="586" spans="1:14" ht="16.5" customHeight="1" x14ac:dyDescent="0.2">
      <c r="A586" s="7">
        <v>585</v>
      </c>
      <c r="B586" s="8" t="s">
        <v>70</v>
      </c>
      <c r="C586" s="9" t="s">
        <v>32</v>
      </c>
      <c r="D586" s="10">
        <v>34724</v>
      </c>
      <c r="E586" s="11">
        <v>6593608841</v>
      </c>
      <c r="F586" s="12">
        <v>19</v>
      </c>
      <c r="G586" s="4" t="s">
        <v>83</v>
      </c>
      <c r="H586" s="13">
        <v>240</v>
      </c>
      <c r="I586" s="14" t="s">
        <v>17</v>
      </c>
      <c r="J586" s="14" t="s">
        <v>18</v>
      </c>
      <c r="K586" s="14">
        <v>24</v>
      </c>
      <c r="L586" s="15">
        <v>45</v>
      </c>
      <c r="M586" s="15">
        <f t="shared" si="9"/>
        <v>1080</v>
      </c>
      <c r="N586" s="16" t="s">
        <v>19</v>
      </c>
    </row>
    <row r="587" spans="1:14" ht="16.5" customHeight="1" x14ac:dyDescent="0.2">
      <c r="A587" s="7">
        <v>586</v>
      </c>
      <c r="B587" s="8" t="s">
        <v>70</v>
      </c>
      <c r="C587" s="9" t="s">
        <v>32</v>
      </c>
      <c r="D587" s="10">
        <v>34760</v>
      </c>
      <c r="E587" s="11">
        <v>2633990398</v>
      </c>
      <c r="F587" s="12">
        <v>19</v>
      </c>
      <c r="G587" s="4" t="s">
        <v>83</v>
      </c>
      <c r="H587" s="13">
        <v>548</v>
      </c>
      <c r="I587" s="14" t="s">
        <v>24</v>
      </c>
      <c r="J587" s="14" t="s">
        <v>18</v>
      </c>
      <c r="K587" s="14">
        <v>59</v>
      </c>
      <c r="L587" s="15">
        <v>90</v>
      </c>
      <c r="M587" s="15">
        <f t="shared" si="9"/>
        <v>5310</v>
      </c>
      <c r="N587" s="14" t="s">
        <v>30</v>
      </c>
    </row>
    <row r="588" spans="1:14" ht="16.5" customHeight="1" x14ac:dyDescent="0.2">
      <c r="A588" s="7">
        <v>587</v>
      </c>
      <c r="B588" s="8" t="s">
        <v>70</v>
      </c>
      <c r="C588" s="9" t="s">
        <v>32</v>
      </c>
      <c r="D588" s="10">
        <v>34787</v>
      </c>
      <c r="E588" s="11">
        <v>691280202</v>
      </c>
      <c r="F588" s="12">
        <v>19</v>
      </c>
      <c r="G588" s="4" t="s">
        <v>83</v>
      </c>
      <c r="H588" s="13">
        <v>521</v>
      </c>
      <c r="I588" s="14" t="s">
        <v>22</v>
      </c>
      <c r="J588" s="14" t="s">
        <v>23</v>
      </c>
      <c r="K588" s="14">
        <v>80</v>
      </c>
      <c r="L588" s="15">
        <v>30</v>
      </c>
      <c r="M588" s="15">
        <f t="shared" si="9"/>
        <v>2400</v>
      </c>
      <c r="N588" s="14" t="s">
        <v>30</v>
      </c>
    </row>
    <row r="589" spans="1:14" ht="16.5" customHeight="1" x14ac:dyDescent="0.2">
      <c r="A589" s="7">
        <v>588</v>
      </c>
      <c r="B589" s="8" t="s">
        <v>70</v>
      </c>
      <c r="C589" s="9" t="s">
        <v>32</v>
      </c>
      <c r="D589" s="10">
        <v>35129</v>
      </c>
      <c r="E589" s="11">
        <v>273499122</v>
      </c>
      <c r="F589" s="12">
        <v>19</v>
      </c>
      <c r="G589" s="4" t="s">
        <v>83</v>
      </c>
      <c r="H589" s="13">
        <v>521</v>
      </c>
      <c r="I589" s="14" t="s">
        <v>22</v>
      </c>
      <c r="J589" s="14" t="s">
        <v>23</v>
      </c>
      <c r="K589" s="14">
        <v>27</v>
      </c>
      <c r="L589" s="15">
        <v>30</v>
      </c>
      <c r="M589" s="15">
        <f t="shared" si="9"/>
        <v>810</v>
      </c>
      <c r="N589" s="16" t="s">
        <v>19</v>
      </c>
    </row>
    <row r="590" spans="1:14" ht="16.5" customHeight="1" x14ac:dyDescent="0.2">
      <c r="A590" s="7">
        <v>589</v>
      </c>
      <c r="B590" s="8" t="s">
        <v>70</v>
      </c>
      <c r="C590" s="9" t="s">
        <v>32</v>
      </c>
      <c r="D590" s="10">
        <v>35642</v>
      </c>
      <c r="E590" s="11">
        <v>4769619714</v>
      </c>
      <c r="F590" s="12">
        <v>19</v>
      </c>
      <c r="G590" s="4" t="s">
        <v>83</v>
      </c>
      <c r="H590" s="13">
        <v>353</v>
      </c>
      <c r="I590" s="14" t="s">
        <v>22</v>
      </c>
      <c r="J590" s="14" t="s">
        <v>23</v>
      </c>
      <c r="K590" s="14">
        <v>44</v>
      </c>
      <c r="L590" s="15">
        <v>40</v>
      </c>
      <c r="M590" s="15">
        <f t="shared" si="9"/>
        <v>1760</v>
      </c>
      <c r="N590" s="14" t="s">
        <v>30</v>
      </c>
    </row>
    <row r="591" spans="1:14" ht="16.5" customHeight="1" x14ac:dyDescent="0.2">
      <c r="A591" s="7">
        <v>590</v>
      </c>
      <c r="B591" s="8" t="s">
        <v>70</v>
      </c>
      <c r="C591" s="9" t="s">
        <v>32</v>
      </c>
      <c r="D591" s="10">
        <v>35651</v>
      </c>
      <c r="E591" s="11">
        <v>6593608841</v>
      </c>
      <c r="F591" s="12">
        <v>19</v>
      </c>
      <c r="G591" s="4" t="s">
        <v>83</v>
      </c>
      <c r="H591" s="13">
        <v>240</v>
      </c>
      <c r="I591" s="14" t="s">
        <v>17</v>
      </c>
      <c r="J591" s="14" t="s">
        <v>18</v>
      </c>
      <c r="K591" s="14">
        <v>56</v>
      </c>
      <c r="L591" s="15">
        <v>45</v>
      </c>
      <c r="M591" s="15">
        <f t="shared" si="9"/>
        <v>2520</v>
      </c>
      <c r="N591" s="16" t="s">
        <v>19</v>
      </c>
    </row>
    <row r="592" spans="1:14" ht="16.5" customHeight="1" x14ac:dyDescent="0.2">
      <c r="A592" s="7">
        <v>591</v>
      </c>
      <c r="B592" s="8" t="s">
        <v>70</v>
      </c>
      <c r="C592" s="9" t="s">
        <v>32</v>
      </c>
      <c r="D592" s="10">
        <v>35687</v>
      </c>
      <c r="E592" s="11">
        <v>2633990398</v>
      </c>
      <c r="F592" s="12">
        <v>19</v>
      </c>
      <c r="G592" s="4" t="s">
        <v>83</v>
      </c>
      <c r="H592" s="13">
        <v>548</v>
      </c>
      <c r="I592" s="14" t="s">
        <v>24</v>
      </c>
      <c r="J592" s="14" t="s">
        <v>18</v>
      </c>
      <c r="K592" s="14">
        <v>48</v>
      </c>
      <c r="L592" s="15">
        <v>90</v>
      </c>
      <c r="M592" s="15">
        <f t="shared" si="9"/>
        <v>4320</v>
      </c>
      <c r="N592" s="14" t="s">
        <v>30</v>
      </c>
    </row>
    <row r="593" spans="1:14" ht="16.5" customHeight="1" x14ac:dyDescent="0.2">
      <c r="A593" s="7">
        <v>592</v>
      </c>
      <c r="B593" s="8" t="s">
        <v>70</v>
      </c>
      <c r="C593" s="9" t="s">
        <v>32</v>
      </c>
      <c r="D593" s="10">
        <v>35714</v>
      </c>
      <c r="E593" s="11">
        <v>691280202</v>
      </c>
      <c r="F593" s="12">
        <v>19</v>
      </c>
      <c r="G593" s="4" t="s">
        <v>83</v>
      </c>
      <c r="H593" s="13">
        <v>521</v>
      </c>
      <c r="I593" s="14" t="s">
        <v>22</v>
      </c>
      <c r="J593" s="14" t="s">
        <v>23</v>
      </c>
      <c r="K593" s="14">
        <v>21</v>
      </c>
      <c r="L593" s="15">
        <v>30</v>
      </c>
      <c r="M593" s="15">
        <f t="shared" si="9"/>
        <v>630</v>
      </c>
      <c r="N593" s="14" t="s">
        <v>30</v>
      </c>
    </row>
    <row r="594" spans="1:14" ht="16.5" customHeight="1" x14ac:dyDescent="0.2">
      <c r="A594" s="7">
        <v>593</v>
      </c>
      <c r="B594" s="8" t="s">
        <v>70</v>
      </c>
      <c r="C594" s="9" t="s">
        <v>32</v>
      </c>
      <c r="D594" s="10">
        <v>36056</v>
      </c>
      <c r="E594" s="11">
        <v>273499122</v>
      </c>
      <c r="F594" s="12">
        <v>19</v>
      </c>
      <c r="G594" s="4" t="s">
        <v>83</v>
      </c>
      <c r="H594" s="13">
        <v>521</v>
      </c>
      <c r="I594" s="14" t="s">
        <v>22</v>
      </c>
      <c r="J594" s="14" t="s">
        <v>23</v>
      </c>
      <c r="K594" s="14">
        <v>92</v>
      </c>
      <c r="L594" s="15">
        <v>30</v>
      </c>
      <c r="M594" s="15">
        <f t="shared" si="9"/>
        <v>2760</v>
      </c>
      <c r="N594" s="16" t="s">
        <v>19</v>
      </c>
    </row>
    <row r="595" spans="1:14" ht="16.5" customHeight="1" x14ac:dyDescent="0.2">
      <c r="A595" s="7">
        <v>594</v>
      </c>
      <c r="B595" s="8" t="s">
        <v>70</v>
      </c>
      <c r="C595" s="9" t="s">
        <v>32</v>
      </c>
      <c r="D595" s="10">
        <v>36569</v>
      </c>
      <c r="E595" s="11">
        <v>4769619714</v>
      </c>
      <c r="F595" s="12">
        <v>36</v>
      </c>
      <c r="G595" s="4" t="s">
        <v>84</v>
      </c>
      <c r="H595" s="13">
        <v>353</v>
      </c>
      <c r="I595" s="14" t="s">
        <v>22</v>
      </c>
      <c r="J595" s="14" t="s">
        <v>23</v>
      </c>
      <c r="K595" s="14">
        <v>44</v>
      </c>
      <c r="L595" s="15">
        <v>40</v>
      </c>
      <c r="M595" s="15">
        <f t="shared" si="9"/>
        <v>1760</v>
      </c>
      <c r="N595" s="14" t="s">
        <v>30</v>
      </c>
    </row>
    <row r="596" spans="1:14" ht="16.5" customHeight="1" x14ac:dyDescent="0.2">
      <c r="A596" s="7">
        <v>595</v>
      </c>
      <c r="B596" s="8" t="s">
        <v>70</v>
      </c>
      <c r="C596" s="9" t="s">
        <v>32</v>
      </c>
      <c r="D596" s="10">
        <v>36578</v>
      </c>
      <c r="E596" s="11">
        <v>6593608841</v>
      </c>
      <c r="F596" s="12">
        <v>36</v>
      </c>
      <c r="G596" s="4" t="s">
        <v>84</v>
      </c>
      <c r="H596" s="13">
        <v>240</v>
      </c>
      <c r="I596" s="14" t="s">
        <v>17</v>
      </c>
      <c r="J596" s="14" t="s">
        <v>18</v>
      </c>
      <c r="K596" s="14">
        <v>52</v>
      </c>
      <c r="L596" s="15">
        <v>45</v>
      </c>
      <c r="M596" s="15">
        <f t="shared" si="9"/>
        <v>2340</v>
      </c>
      <c r="N596" s="16" t="s">
        <v>19</v>
      </c>
    </row>
    <row r="597" spans="1:14" ht="16.5" customHeight="1" x14ac:dyDescent="0.2">
      <c r="A597" s="7">
        <v>596</v>
      </c>
      <c r="B597" s="8" t="s">
        <v>70</v>
      </c>
      <c r="C597" s="9" t="s">
        <v>32</v>
      </c>
      <c r="D597" s="10">
        <v>36614</v>
      </c>
      <c r="E597" s="11">
        <v>2633990398</v>
      </c>
      <c r="F597" s="12">
        <v>36</v>
      </c>
      <c r="G597" s="4" t="s">
        <v>84</v>
      </c>
      <c r="H597" s="13">
        <v>548</v>
      </c>
      <c r="I597" s="14" t="s">
        <v>24</v>
      </c>
      <c r="J597" s="14" t="s">
        <v>18</v>
      </c>
      <c r="K597" s="14">
        <v>84</v>
      </c>
      <c r="L597" s="15">
        <v>90</v>
      </c>
      <c r="M597" s="15">
        <f t="shared" si="9"/>
        <v>7560</v>
      </c>
      <c r="N597" s="14" t="s">
        <v>30</v>
      </c>
    </row>
    <row r="598" spans="1:14" ht="16.5" customHeight="1" x14ac:dyDescent="0.2">
      <c r="A598" s="7">
        <v>597</v>
      </c>
      <c r="B598" s="8" t="s">
        <v>70</v>
      </c>
      <c r="C598" s="9" t="s">
        <v>32</v>
      </c>
      <c r="D598" s="10">
        <v>36641</v>
      </c>
      <c r="E598" s="11">
        <v>691280202</v>
      </c>
      <c r="F598" s="12">
        <v>36</v>
      </c>
      <c r="G598" s="4" t="s">
        <v>84</v>
      </c>
      <c r="H598" s="13">
        <v>521</v>
      </c>
      <c r="I598" s="14" t="s">
        <v>22</v>
      </c>
      <c r="J598" s="14" t="s">
        <v>23</v>
      </c>
      <c r="K598" s="14">
        <v>59</v>
      </c>
      <c r="L598" s="15">
        <v>30</v>
      </c>
      <c r="M598" s="15">
        <f t="shared" si="9"/>
        <v>1770</v>
      </c>
      <c r="N598" s="14" t="s">
        <v>30</v>
      </c>
    </row>
    <row r="599" spans="1:14" ht="16.5" customHeight="1" x14ac:dyDescent="0.2">
      <c r="A599" s="7">
        <v>598</v>
      </c>
      <c r="B599" s="8" t="s">
        <v>70</v>
      </c>
      <c r="C599" s="9" t="s">
        <v>32</v>
      </c>
      <c r="D599" s="10">
        <v>36983</v>
      </c>
      <c r="E599" s="11">
        <v>273499122</v>
      </c>
      <c r="F599" s="12">
        <v>36</v>
      </c>
      <c r="G599" s="4" t="s">
        <v>84</v>
      </c>
      <c r="H599" s="13">
        <v>521</v>
      </c>
      <c r="I599" s="14" t="s">
        <v>22</v>
      </c>
      <c r="J599" s="14" t="s">
        <v>23</v>
      </c>
      <c r="K599" s="14">
        <v>99</v>
      </c>
      <c r="L599" s="15">
        <v>30</v>
      </c>
      <c r="M599" s="15">
        <f t="shared" si="9"/>
        <v>2970</v>
      </c>
      <c r="N599" s="16" t="s">
        <v>19</v>
      </c>
    </row>
    <row r="600" spans="1:14" ht="16.5" customHeight="1" x14ac:dyDescent="0.2">
      <c r="A600" s="7">
        <v>599</v>
      </c>
      <c r="B600" s="8" t="s">
        <v>70</v>
      </c>
      <c r="C600" s="9" t="s">
        <v>32</v>
      </c>
      <c r="D600" s="10">
        <v>37496</v>
      </c>
      <c r="E600" s="11">
        <v>4769619714</v>
      </c>
      <c r="F600" s="12">
        <v>36</v>
      </c>
      <c r="G600" s="4" t="s">
        <v>84</v>
      </c>
      <c r="H600" s="13">
        <v>353</v>
      </c>
      <c r="I600" s="14" t="s">
        <v>22</v>
      </c>
      <c r="J600" s="14" t="s">
        <v>23</v>
      </c>
      <c r="K600" s="14">
        <v>67</v>
      </c>
      <c r="L600" s="15">
        <v>40</v>
      </c>
      <c r="M600" s="15">
        <f t="shared" si="9"/>
        <v>2680</v>
      </c>
      <c r="N600" s="14" t="s">
        <v>30</v>
      </c>
    </row>
    <row r="601" spans="1:14" ht="16.5" customHeight="1" x14ac:dyDescent="0.2">
      <c r="A601" s="7">
        <v>600</v>
      </c>
      <c r="B601" s="8" t="s">
        <v>70</v>
      </c>
      <c r="C601" s="9" t="s">
        <v>32</v>
      </c>
      <c r="D601" s="10">
        <v>37505</v>
      </c>
      <c r="E601" s="11">
        <v>6593608841</v>
      </c>
      <c r="F601" s="12">
        <v>36</v>
      </c>
      <c r="G601" s="4" t="s">
        <v>84</v>
      </c>
      <c r="H601" s="13">
        <v>240</v>
      </c>
      <c r="I601" s="14" t="s">
        <v>17</v>
      </c>
      <c r="J601" s="14" t="s">
        <v>18</v>
      </c>
      <c r="K601" s="14">
        <v>69</v>
      </c>
      <c r="L601" s="15">
        <v>45</v>
      </c>
      <c r="M601" s="15">
        <f t="shared" si="9"/>
        <v>3105</v>
      </c>
      <c r="N601" s="16" t="s">
        <v>19</v>
      </c>
    </row>
    <row r="602" spans="1:14" ht="16.5" customHeight="1" x14ac:dyDescent="0.2">
      <c r="A602" s="7">
        <v>601</v>
      </c>
      <c r="B602" s="8" t="s">
        <v>70</v>
      </c>
      <c r="C602" s="9" t="s">
        <v>32</v>
      </c>
      <c r="D602" s="10">
        <v>37541</v>
      </c>
      <c r="E602" s="11">
        <v>2633990398</v>
      </c>
      <c r="F602" s="12">
        <v>36</v>
      </c>
      <c r="G602" s="4" t="s">
        <v>84</v>
      </c>
      <c r="H602" s="13">
        <v>548</v>
      </c>
      <c r="I602" s="14" t="s">
        <v>24</v>
      </c>
      <c r="J602" s="14" t="s">
        <v>18</v>
      </c>
      <c r="K602" s="14">
        <v>95</v>
      </c>
      <c r="L602" s="15">
        <v>90</v>
      </c>
      <c r="M602" s="15">
        <f t="shared" si="9"/>
        <v>8550</v>
      </c>
      <c r="N602" s="14" t="s">
        <v>30</v>
      </c>
    </row>
    <row r="603" spans="1:14" ht="16.5" customHeight="1" x14ac:dyDescent="0.2">
      <c r="A603" s="7">
        <v>602</v>
      </c>
      <c r="B603" s="8" t="s">
        <v>70</v>
      </c>
      <c r="C603" s="9" t="s">
        <v>32</v>
      </c>
      <c r="D603" s="10">
        <v>37568</v>
      </c>
      <c r="E603" s="11">
        <v>691280202</v>
      </c>
      <c r="F603" s="12">
        <v>36</v>
      </c>
      <c r="G603" s="4" t="s">
        <v>84</v>
      </c>
      <c r="H603" s="13">
        <v>521</v>
      </c>
      <c r="I603" s="14" t="s">
        <v>22</v>
      </c>
      <c r="J603" s="14" t="s">
        <v>23</v>
      </c>
      <c r="K603" s="14">
        <v>32</v>
      </c>
      <c r="L603" s="15">
        <v>30</v>
      </c>
      <c r="M603" s="15">
        <f t="shared" si="9"/>
        <v>960</v>
      </c>
      <c r="N603" s="14" t="s">
        <v>30</v>
      </c>
    </row>
    <row r="604" spans="1:14" ht="16.5" customHeight="1" x14ac:dyDescent="0.2">
      <c r="A604" s="7">
        <v>603</v>
      </c>
      <c r="B604" s="8" t="s">
        <v>70</v>
      </c>
      <c r="C604" s="9" t="s">
        <v>32</v>
      </c>
      <c r="D604" s="10">
        <v>37910</v>
      </c>
      <c r="E604" s="11">
        <v>273499122</v>
      </c>
      <c r="F604" s="12">
        <v>36</v>
      </c>
      <c r="G604" s="4" t="s">
        <v>84</v>
      </c>
      <c r="H604" s="13">
        <v>521</v>
      </c>
      <c r="I604" s="14" t="s">
        <v>22</v>
      </c>
      <c r="J604" s="14" t="s">
        <v>23</v>
      </c>
      <c r="K604" s="14">
        <v>21</v>
      </c>
      <c r="L604" s="15">
        <v>30</v>
      </c>
      <c r="M604" s="15">
        <f t="shared" si="9"/>
        <v>630</v>
      </c>
      <c r="N604" s="16" t="s">
        <v>19</v>
      </c>
    </row>
    <row r="605" spans="1:14" ht="16.5" customHeight="1" x14ac:dyDescent="0.2">
      <c r="A605" s="7">
        <v>604</v>
      </c>
      <c r="B605" s="8" t="s">
        <v>70</v>
      </c>
      <c r="C605" s="9" t="s">
        <v>80</v>
      </c>
      <c r="D605" s="10">
        <v>38423</v>
      </c>
      <c r="E605" s="11">
        <v>4769619714</v>
      </c>
      <c r="F605" s="12">
        <v>36</v>
      </c>
      <c r="G605" s="4" t="s">
        <v>84</v>
      </c>
      <c r="H605" s="13">
        <v>353</v>
      </c>
      <c r="I605" s="14" t="s">
        <v>22</v>
      </c>
      <c r="J605" s="14" t="s">
        <v>23</v>
      </c>
      <c r="K605" s="14">
        <v>71</v>
      </c>
      <c r="L605" s="15">
        <v>40</v>
      </c>
      <c r="M605" s="15">
        <f t="shared" si="9"/>
        <v>2840</v>
      </c>
      <c r="N605" s="14" t="s">
        <v>30</v>
      </c>
    </row>
    <row r="606" spans="1:14" ht="16.5" customHeight="1" x14ac:dyDescent="0.2">
      <c r="A606" s="7">
        <v>605</v>
      </c>
      <c r="B606" s="8" t="s">
        <v>70</v>
      </c>
      <c r="C606" s="9" t="s">
        <v>80</v>
      </c>
      <c r="D606" s="10">
        <v>38432</v>
      </c>
      <c r="E606" s="11">
        <v>6593608841</v>
      </c>
      <c r="F606" s="12">
        <v>36</v>
      </c>
      <c r="G606" s="4" t="s">
        <v>84</v>
      </c>
      <c r="H606" s="13">
        <v>240</v>
      </c>
      <c r="I606" s="14" t="s">
        <v>17</v>
      </c>
      <c r="J606" s="14" t="s">
        <v>18</v>
      </c>
      <c r="K606" s="14">
        <v>46</v>
      </c>
      <c r="L606" s="15">
        <v>45</v>
      </c>
      <c r="M606" s="15">
        <f t="shared" si="9"/>
        <v>2070</v>
      </c>
      <c r="N606" s="16" t="s">
        <v>19</v>
      </c>
    </row>
    <row r="607" spans="1:14" ht="16.5" customHeight="1" x14ac:dyDescent="0.2">
      <c r="A607" s="7">
        <v>606</v>
      </c>
      <c r="B607" s="8" t="s">
        <v>70</v>
      </c>
      <c r="C607" s="9" t="s">
        <v>80</v>
      </c>
      <c r="D607" s="10">
        <v>38468</v>
      </c>
      <c r="E607" s="11">
        <v>2633990398</v>
      </c>
      <c r="F607" s="12">
        <v>36</v>
      </c>
      <c r="G607" s="4" t="s">
        <v>84</v>
      </c>
      <c r="H607" s="13">
        <v>548</v>
      </c>
      <c r="I607" s="14" t="s">
        <v>24</v>
      </c>
      <c r="J607" s="14" t="s">
        <v>18</v>
      </c>
      <c r="K607" s="14">
        <v>97</v>
      </c>
      <c r="L607" s="15">
        <v>90</v>
      </c>
      <c r="M607" s="15">
        <f t="shared" si="9"/>
        <v>8730</v>
      </c>
      <c r="N607" s="14" t="s">
        <v>30</v>
      </c>
    </row>
    <row r="608" spans="1:14" ht="16.5" customHeight="1" x14ac:dyDescent="0.2">
      <c r="A608" s="7">
        <v>607</v>
      </c>
      <c r="B608" s="8" t="s">
        <v>70</v>
      </c>
      <c r="C608" s="9" t="s">
        <v>80</v>
      </c>
      <c r="D608" s="10">
        <v>38495</v>
      </c>
      <c r="E608" s="11">
        <v>691280202</v>
      </c>
      <c r="F608" s="12">
        <v>19</v>
      </c>
      <c r="G608" s="4" t="s">
        <v>83</v>
      </c>
      <c r="H608" s="13">
        <v>521</v>
      </c>
      <c r="I608" s="14" t="s">
        <v>22</v>
      </c>
      <c r="J608" s="14" t="s">
        <v>23</v>
      </c>
      <c r="K608" s="14">
        <v>90</v>
      </c>
      <c r="L608" s="15">
        <v>30</v>
      </c>
      <c r="M608" s="15">
        <f t="shared" si="9"/>
        <v>2700</v>
      </c>
      <c r="N608" s="14" t="s">
        <v>30</v>
      </c>
    </row>
    <row r="609" spans="1:14" ht="16.5" customHeight="1" x14ac:dyDescent="0.2">
      <c r="A609" s="7">
        <v>608</v>
      </c>
      <c r="B609" s="8" t="s">
        <v>70</v>
      </c>
      <c r="C609" s="9" t="s">
        <v>80</v>
      </c>
      <c r="D609" s="10">
        <v>38837</v>
      </c>
      <c r="E609" s="11">
        <v>273499122</v>
      </c>
      <c r="F609" s="12">
        <v>19</v>
      </c>
      <c r="G609" s="4" t="s">
        <v>83</v>
      </c>
      <c r="H609" s="13">
        <v>521</v>
      </c>
      <c r="I609" s="14" t="s">
        <v>22</v>
      </c>
      <c r="J609" s="14" t="s">
        <v>23</v>
      </c>
      <c r="K609" s="14">
        <v>32</v>
      </c>
      <c r="L609" s="15">
        <v>30</v>
      </c>
      <c r="M609" s="15">
        <f t="shared" si="9"/>
        <v>960</v>
      </c>
      <c r="N609" s="16" t="s">
        <v>19</v>
      </c>
    </row>
    <row r="610" spans="1:14" ht="16.5" customHeight="1" x14ac:dyDescent="0.2">
      <c r="A610" s="7">
        <v>609</v>
      </c>
      <c r="B610" s="8" t="s">
        <v>70</v>
      </c>
      <c r="C610" s="9" t="s">
        <v>80</v>
      </c>
      <c r="D610" s="10">
        <v>39350</v>
      </c>
      <c r="E610" s="11">
        <v>4769619714</v>
      </c>
      <c r="F610" s="12">
        <v>19</v>
      </c>
      <c r="G610" s="4" t="s">
        <v>83</v>
      </c>
      <c r="H610" s="13">
        <v>353</v>
      </c>
      <c r="I610" s="14" t="s">
        <v>22</v>
      </c>
      <c r="J610" s="14" t="s">
        <v>23</v>
      </c>
      <c r="K610" s="14">
        <v>74</v>
      </c>
      <c r="L610" s="15">
        <v>40</v>
      </c>
      <c r="M610" s="15">
        <f t="shared" si="9"/>
        <v>2960</v>
      </c>
      <c r="N610" s="14" t="s">
        <v>30</v>
      </c>
    </row>
    <row r="611" spans="1:14" ht="16.5" customHeight="1" x14ac:dyDescent="0.2">
      <c r="A611" s="7">
        <v>610</v>
      </c>
      <c r="B611" s="8" t="s">
        <v>70</v>
      </c>
      <c r="C611" s="9" t="s">
        <v>80</v>
      </c>
      <c r="D611" s="10">
        <v>39359</v>
      </c>
      <c r="E611" s="11">
        <v>6593608841</v>
      </c>
      <c r="F611" s="12">
        <v>19</v>
      </c>
      <c r="G611" s="4" t="s">
        <v>83</v>
      </c>
      <c r="H611" s="13">
        <v>240</v>
      </c>
      <c r="I611" s="14" t="s">
        <v>17</v>
      </c>
      <c r="J611" s="14" t="s">
        <v>18</v>
      </c>
      <c r="K611" s="14">
        <v>54</v>
      </c>
      <c r="L611" s="15">
        <v>45</v>
      </c>
      <c r="M611" s="15">
        <f t="shared" si="9"/>
        <v>2430</v>
      </c>
      <c r="N611" s="16" t="s">
        <v>19</v>
      </c>
    </row>
    <row r="612" spans="1:14" ht="16.5" customHeight="1" x14ac:dyDescent="0.2">
      <c r="A612" s="7">
        <v>611</v>
      </c>
      <c r="B612" s="8" t="s">
        <v>70</v>
      </c>
      <c r="C612" s="9" t="s">
        <v>80</v>
      </c>
      <c r="D612" s="10">
        <v>39395</v>
      </c>
      <c r="E612" s="11">
        <v>2633990398</v>
      </c>
      <c r="F612" s="12">
        <v>19</v>
      </c>
      <c r="G612" s="4" t="s">
        <v>83</v>
      </c>
      <c r="H612" s="13">
        <v>548</v>
      </c>
      <c r="I612" s="14" t="s">
        <v>24</v>
      </c>
      <c r="J612" s="14" t="s">
        <v>18</v>
      </c>
      <c r="K612" s="14">
        <v>86</v>
      </c>
      <c r="L612" s="15">
        <v>90</v>
      </c>
      <c r="M612" s="15">
        <f t="shared" si="9"/>
        <v>7740</v>
      </c>
      <c r="N612" s="14" t="s">
        <v>30</v>
      </c>
    </row>
    <row r="613" spans="1:14" ht="16.5" customHeight="1" x14ac:dyDescent="0.2">
      <c r="A613" s="7">
        <v>612</v>
      </c>
      <c r="B613" s="8" t="s">
        <v>70</v>
      </c>
      <c r="C613" s="9" t="s">
        <v>80</v>
      </c>
      <c r="D613" s="10">
        <v>39422</v>
      </c>
      <c r="E613" s="11">
        <v>691280202</v>
      </c>
      <c r="F613" s="12">
        <v>19</v>
      </c>
      <c r="G613" s="4" t="s">
        <v>83</v>
      </c>
      <c r="H613" s="13">
        <v>521</v>
      </c>
      <c r="I613" s="14" t="s">
        <v>22</v>
      </c>
      <c r="J613" s="14" t="s">
        <v>23</v>
      </c>
      <c r="K613" s="14">
        <v>16</v>
      </c>
      <c r="L613" s="15">
        <v>30</v>
      </c>
      <c r="M613" s="15">
        <f t="shared" si="9"/>
        <v>480</v>
      </c>
      <c r="N613" s="14" t="s">
        <v>30</v>
      </c>
    </row>
    <row r="614" spans="1:14" ht="16.5" customHeight="1" x14ac:dyDescent="0.2">
      <c r="A614" s="7">
        <v>613</v>
      </c>
      <c r="B614" s="8" t="s">
        <v>70</v>
      </c>
      <c r="C614" s="9" t="s">
        <v>32</v>
      </c>
      <c r="D614" s="10">
        <v>39764</v>
      </c>
      <c r="E614" s="11">
        <v>273499122</v>
      </c>
      <c r="F614" s="12">
        <v>37</v>
      </c>
      <c r="G614" s="4" t="s">
        <v>85</v>
      </c>
      <c r="H614" s="13">
        <v>521</v>
      </c>
      <c r="I614" s="14" t="s">
        <v>22</v>
      </c>
      <c r="J614" s="14" t="s">
        <v>23</v>
      </c>
      <c r="K614" s="14">
        <v>61</v>
      </c>
      <c r="L614" s="15">
        <v>30</v>
      </c>
      <c r="M614" s="15">
        <f t="shared" si="9"/>
        <v>1830</v>
      </c>
      <c r="N614" s="16" t="s">
        <v>19</v>
      </c>
    </row>
    <row r="615" spans="1:14" ht="16.5" customHeight="1" x14ac:dyDescent="0.2">
      <c r="A615" s="7">
        <v>614</v>
      </c>
      <c r="B615" s="8" t="s">
        <v>81</v>
      </c>
      <c r="C615" s="9" t="s">
        <v>32</v>
      </c>
      <c r="D615" s="10">
        <v>34814</v>
      </c>
      <c r="E615" s="11">
        <v>4636729558</v>
      </c>
      <c r="F615" s="12">
        <v>37</v>
      </c>
      <c r="G615" s="4" t="s">
        <v>85</v>
      </c>
      <c r="H615" s="13">
        <v>896</v>
      </c>
      <c r="I615" s="14" t="s">
        <v>38</v>
      </c>
      <c r="J615" s="14" t="s">
        <v>18</v>
      </c>
      <c r="K615" s="14">
        <v>31</v>
      </c>
      <c r="L615" s="15">
        <v>15</v>
      </c>
      <c r="M615" s="15">
        <f t="shared" si="9"/>
        <v>465</v>
      </c>
      <c r="N615" s="14" t="s">
        <v>30</v>
      </c>
    </row>
    <row r="616" spans="1:14" ht="16.5" customHeight="1" x14ac:dyDescent="0.2">
      <c r="A616" s="7">
        <v>615</v>
      </c>
      <c r="B616" s="8" t="s">
        <v>81</v>
      </c>
      <c r="C616" s="9" t="s">
        <v>32</v>
      </c>
      <c r="D616" s="10">
        <v>35741</v>
      </c>
      <c r="E616" s="11">
        <v>4636729558</v>
      </c>
      <c r="F616" s="12">
        <v>37</v>
      </c>
      <c r="G616" s="4" t="s">
        <v>85</v>
      </c>
      <c r="H616" s="13">
        <v>896</v>
      </c>
      <c r="I616" s="14" t="s">
        <v>38</v>
      </c>
      <c r="J616" s="14" t="s">
        <v>18</v>
      </c>
      <c r="K616" s="14">
        <v>64</v>
      </c>
      <c r="L616" s="15">
        <v>15</v>
      </c>
      <c r="M616" s="15">
        <f t="shared" si="9"/>
        <v>960</v>
      </c>
      <c r="N616" s="14" t="s">
        <v>30</v>
      </c>
    </row>
    <row r="617" spans="1:14" ht="16.5" customHeight="1" x14ac:dyDescent="0.2">
      <c r="A617" s="7">
        <v>616</v>
      </c>
      <c r="B617" s="8" t="s">
        <v>81</v>
      </c>
      <c r="C617" s="9" t="s">
        <v>32</v>
      </c>
      <c r="D617" s="10">
        <v>36668</v>
      </c>
      <c r="E617" s="11">
        <v>4636729558</v>
      </c>
      <c r="F617" s="12">
        <v>37</v>
      </c>
      <c r="G617" s="4" t="s">
        <v>85</v>
      </c>
      <c r="H617" s="13">
        <v>896</v>
      </c>
      <c r="I617" s="14" t="s">
        <v>38</v>
      </c>
      <c r="J617" s="14" t="s">
        <v>18</v>
      </c>
      <c r="K617" s="14">
        <v>77</v>
      </c>
      <c r="L617" s="15">
        <v>15</v>
      </c>
      <c r="M617" s="15">
        <f t="shared" si="9"/>
        <v>1155</v>
      </c>
      <c r="N617" s="14" t="s">
        <v>30</v>
      </c>
    </row>
    <row r="618" spans="1:14" ht="16.5" customHeight="1" x14ac:dyDescent="0.2">
      <c r="A618" s="7">
        <v>617</v>
      </c>
      <c r="B618" s="8" t="s">
        <v>81</v>
      </c>
      <c r="C618" s="9" t="s">
        <v>32</v>
      </c>
      <c r="D618" s="10">
        <v>37595</v>
      </c>
      <c r="E618" s="11">
        <v>4636729558</v>
      </c>
      <c r="F618" s="12">
        <v>37</v>
      </c>
      <c r="G618" s="4" t="s">
        <v>85</v>
      </c>
      <c r="H618" s="13">
        <v>896</v>
      </c>
      <c r="I618" s="14" t="s">
        <v>38</v>
      </c>
      <c r="J618" s="14" t="s">
        <v>18</v>
      </c>
      <c r="K618" s="14">
        <v>89</v>
      </c>
      <c r="L618" s="15">
        <v>15</v>
      </c>
      <c r="M618" s="15">
        <f t="shared" si="9"/>
        <v>1335</v>
      </c>
      <c r="N618" s="14" t="s">
        <v>30</v>
      </c>
    </row>
    <row r="619" spans="1:14" ht="16.5" customHeight="1" x14ac:dyDescent="0.2">
      <c r="A619" s="7">
        <v>618</v>
      </c>
      <c r="B619" s="8" t="s">
        <v>81</v>
      </c>
      <c r="C619" s="9" t="s">
        <v>32</v>
      </c>
      <c r="D619" s="10">
        <v>38522</v>
      </c>
      <c r="E619" s="11">
        <v>4636729558</v>
      </c>
      <c r="F619" s="12">
        <v>37</v>
      </c>
      <c r="G619" s="4" t="s">
        <v>85</v>
      </c>
      <c r="H619" s="13">
        <v>896</v>
      </c>
      <c r="I619" s="14" t="s">
        <v>38</v>
      </c>
      <c r="J619" s="14" t="s">
        <v>18</v>
      </c>
      <c r="K619" s="14">
        <v>24</v>
      </c>
      <c r="L619" s="15">
        <v>15</v>
      </c>
      <c r="M619" s="15">
        <f t="shared" si="9"/>
        <v>360</v>
      </c>
      <c r="N619" s="14" t="s">
        <v>30</v>
      </c>
    </row>
    <row r="620" spans="1:14" ht="16.5" customHeight="1" x14ac:dyDescent="0.2">
      <c r="A620" s="7">
        <v>619</v>
      </c>
      <c r="B620" s="8" t="s">
        <v>81</v>
      </c>
      <c r="C620" s="9" t="s">
        <v>32</v>
      </c>
      <c r="D620" s="10">
        <v>39449</v>
      </c>
      <c r="E620" s="11">
        <v>4636729558</v>
      </c>
      <c r="F620" s="12">
        <v>37</v>
      </c>
      <c r="G620" s="4" t="s">
        <v>85</v>
      </c>
      <c r="H620" s="13">
        <v>896</v>
      </c>
      <c r="I620" s="14" t="s">
        <v>38</v>
      </c>
      <c r="J620" s="14" t="s">
        <v>18</v>
      </c>
      <c r="K620" s="14">
        <v>31</v>
      </c>
      <c r="L620" s="15">
        <v>15</v>
      </c>
      <c r="M620" s="15">
        <f t="shared" si="9"/>
        <v>465</v>
      </c>
      <c r="N620" s="14" t="s">
        <v>30</v>
      </c>
    </row>
    <row r="621" spans="1:14" ht="16.5" customHeight="1" x14ac:dyDescent="0.2">
      <c r="A621" s="17" t="s">
        <v>86</v>
      </c>
      <c r="B621" s="18"/>
      <c r="C621" s="19"/>
      <c r="D621" s="19"/>
      <c r="E621" s="17"/>
      <c r="F621" s="20"/>
      <c r="G621" s="17"/>
      <c r="H621" s="19"/>
      <c r="I621" s="19"/>
      <c r="J621" s="19"/>
      <c r="K621" s="19"/>
      <c r="L621" s="21"/>
      <c r="M621" s="22">
        <f>SUBTOTAL(109,satışlar[Tutar])</f>
        <v>1163819</v>
      </c>
      <c r="N621" s="19">
        <f>SUBTOTAL(103,satışlar[Ödeme Tipi])</f>
        <v>619</v>
      </c>
    </row>
  </sheetData>
  <pageMargins left="0.7" right="0.7" top="0.75" bottom="0.75" header="0.3" footer="0.3"/>
  <pageSetup paperSize="9" orientation="portrait" horizontalDpi="300" verticalDpi="300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C6"/>
  <sheetViews>
    <sheetView workbookViewId="0">
      <selection activeCell="C8" sqref="C8"/>
    </sheetView>
  </sheetViews>
  <sheetFormatPr defaultRowHeight="12.75" x14ac:dyDescent="0.2"/>
  <cols>
    <col min="2" max="2" width="17.42578125" bestFit="1" customWidth="1"/>
  </cols>
  <sheetData>
    <row r="4" spans="2:3" x14ac:dyDescent="0.2">
      <c r="B4" t="s">
        <v>92</v>
      </c>
      <c r="C4" t="s">
        <v>93</v>
      </c>
    </row>
    <row r="6" spans="2:3" x14ac:dyDescent="0.2">
      <c r="B6" t="s">
        <v>94</v>
      </c>
      <c r="C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pivot</vt:lpstr>
      <vt:lpstr>dashboard</vt:lpstr>
      <vt:lpstr>Veri</vt:lpstr>
      <vt:lpstr>Puanlama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Lab03-16</dc:creator>
  <cp:lastModifiedBy>OGRETMEN</cp:lastModifiedBy>
  <dcterms:created xsi:type="dcterms:W3CDTF">2019-05-17T16:06:16Z</dcterms:created>
  <dcterms:modified xsi:type="dcterms:W3CDTF">2025-12-17T13:54:38Z</dcterms:modified>
</cp:coreProperties>
</file>