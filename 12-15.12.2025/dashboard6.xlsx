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E9AB672-8A5F-474A-9EDB-C209FD8CD3E4}" xr6:coauthVersionLast="47" xr6:coauthVersionMax="47" xr10:uidLastSave="{00000000-0000-0000-0000-000000000000}"/>
  <bookViews>
    <workbookView xWindow="-120" yWindow="660" windowWidth="24240" windowHeight="12360" xr2:uid="{9A9A6D36-30BF-487F-B085-EB1D0F5BAB6F}"/>
  </bookViews>
  <sheets>
    <sheet name="Dashboard" sheetId="2" r:id="rId1"/>
    <sheet name="Veri 1" sheetId="1" r:id="rId2"/>
  </sheets>
  <definedNames>
    <definedName name="Dilimleyici_PLASİYER">#N/A</definedName>
  </definedNames>
  <calcPr calcId="191029"/>
  <pivotCaches>
    <pivotCache cacheId="4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4" i="2"/>
  <c r="D5" i="2"/>
  <c r="D6" i="2"/>
  <c r="D4" i="2"/>
</calcChain>
</file>

<file path=xl/sharedStrings.xml><?xml version="1.0" encoding="utf-8"?>
<sst xmlns="http://schemas.openxmlformats.org/spreadsheetml/2006/main" count="293" uniqueCount="28">
  <si>
    <t>TARİH</t>
  </si>
  <si>
    <t>PLASİYER</t>
  </si>
  <si>
    <t>ÜRÜN</t>
  </si>
  <si>
    <t>MARKA</t>
  </si>
  <si>
    <t>ADET</t>
  </si>
  <si>
    <t>FİYAT</t>
  </si>
  <si>
    <t>Ahmet</t>
  </si>
  <si>
    <t>Laptop</t>
  </si>
  <si>
    <t>Dell</t>
  </si>
  <si>
    <t>Faruk</t>
  </si>
  <si>
    <t>Telefon</t>
  </si>
  <si>
    <t>Apple</t>
  </si>
  <si>
    <t>Jülide</t>
  </si>
  <si>
    <t>Bilgisayar</t>
  </si>
  <si>
    <t>Hp</t>
  </si>
  <si>
    <t>Elif</t>
  </si>
  <si>
    <t>Rauf</t>
  </si>
  <si>
    <t>Kerem</t>
  </si>
  <si>
    <t>Ümit</t>
  </si>
  <si>
    <t>Sercan</t>
  </si>
  <si>
    <t>Emel</t>
  </si>
  <si>
    <t>Emre</t>
  </si>
  <si>
    <t>Toshiba</t>
  </si>
  <si>
    <t>Asus</t>
  </si>
  <si>
    <t>(Tümü)</t>
  </si>
  <si>
    <t>Satır Etiketleri</t>
  </si>
  <si>
    <t>Genel Toplam</t>
  </si>
  <si>
    <t>Toplam FİYAT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</si>
</sst>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&quot;₺&quot;* #,##0_-;\-&quot;₺&quot;* #,##0_-;_-&quot;₺&quot;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Yüzde" xfId="1" builtinId="5"/>
  </cellStyles>
  <dxfs count="34"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</dxfs>
  <tableStyles count="0" defaultTableStyle="TableStyleMedium2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A49E-4990-9D28-19D030E6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Dashboard!$A$4</c:f>
              <c:strCache>
                <c:ptCount val="1"/>
                <c:pt idx="0">
                  <c:v>Bilgisayar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E-4990-9D28-19D030E6ED03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E-4990-9D28-19D030E6ED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Dashboard!$B$4:$D$4</c:f>
              <c:numCache>
                <c:formatCode>General</c:formatCode>
                <c:ptCount val="3"/>
                <c:pt idx="0" formatCode="_-&quot;₺&quot;* #,##0_-;\-&quot;₺&quot;* #,##0_-;_-&quot;₺&quot;* &quot;-&quot;??_-;_-@_-">
                  <c:v>115300</c:v>
                </c:pt>
                <c:pt idx="1">
                  <c:v>193471</c:v>
                </c:pt>
                <c:pt idx="2" formatCode="0%">
                  <c:v>0.37341589721832685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9E-4990-9D28-19D030E6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9A-4682-9C0E-53F3C8DA0A44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9A-4682-9C0E-53F3C8DA0A44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9A-4682-9C0E-53F3C8DA0A4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9A-4682-9C0E-53F3C8DA0A44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9A-4682-9C0E-53F3C8DA0A44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9A-4682-9C0E-53F3C8DA0A44}"/>
              </c:ext>
            </c:extLst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9A-4682-9C0E-53F3C8DA0A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9A-4682-9C0E-53F3C8DA0A44}"/>
              </c:ext>
            </c:extLst>
          </c:dPt>
          <c:dPt>
            <c:idx val="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9A-4682-9C0E-53F3C8DA0A44}"/>
              </c:ext>
            </c:extLst>
          </c:dPt>
          <c:dPt>
            <c:idx val="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9A-4682-9C0E-53F3C8DA0A44}"/>
              </c:ext>
            </c:extLst>
          </c:dPt>
          <c:dPt>
            <c:idx val="1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89A-4682-9C0E-53F3C8DA0A44}"/>
              </c:ext>
            </c:extLst>
          </c:dPt>
          <c:dPt>
            <c:idx val="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89A-4682-9C0E-53F3C8DA0A44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89A-4682-9C0E-53F3C8DA0A4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89A-4682-9C0E-53F3C8DA0A44}"/>
              </c:ext>
            </c:extLst>
          </c:dPt>
          <c:dPt>
            <c:idx val="1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89A-4682-9C0E-53F3C8DA0A44}"/>
              </c:ext>
            </c:extLst>
          </c:dPt>
          <c:dPt>
            <c:idx val="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89A-4682-9C0E-53F3C8DA0A44}"/>
              </c:ext>
            </c:extLst>
          </c:dPt>
          <c:dPt>
            <c:idx val="1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89A-4682-9C0E-53F3C8DA0A44}"/>
              </c:ext>
            </c:extLst>
          </c:dPt>
          <c:dPt>
            <c:idx val="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89A-4682-9C0E-53F3C8DA0A44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89A-4682-9C0E-53F3C8DA0A4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89A-4682-9C0E-53F3C8DA0A44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A49E-4990-9D28-19D030E6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Dashboard!$A$5</c:f>
              <c:strCache>
                <c:ptCount val="1"/>
                <c:pt idx="0">
                  <c:v>Laptop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589A-4682-9C0E-53F3C8DA0A44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89A-4682-9C0E-53F3C8DA0A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Dashboard!$B$5:$D$5</c:f>
              <c:numCache>
                <c:formatCode>General</c:formatCode>
                <c:ptCount val="3"/>
                <c:pt idx="0" formatCode="_-&quot;₺&quot;* #,##0_-;\-&quot;₺&quot;* #,##0_-;_-&quot;₺&quot;* &quot;-&quot;??_-;_-@_-">
                  <c:v>103134</c:v>
                </c:pt>
                <c:pt idx="1">
                  <c:v>205637</c:v>
                </c:pt>
                <c:pt idx="2" formatCode="0%">
                  <c:v>0.33401452856647806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89A-4682-9C0E-53F3C8DA0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9A-4682-9C0E-53F3C8DA0A44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9A-4682-9C0E-53F3C8DA0A44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9A-4682-9C0E-53F3C8DA0A4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9A-4682-9C0E-53F3C8DA0A44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9A-4682-9C0E-53F3C8DA0A44}"/>
              </c:ext>
            </c:extLst>
          </c:dPt>
          <c:dPt>
            <c:idx val="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9A-4682-9C0E-53F3C8DA0A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9A-4682-9C0E-53F3C8DA0A44}"/>
              </c:ext>
            </c:extLst>
          </c:dPt>
          <c:dPt>
            <c:idx val="7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9A-4682-9C0E-53F3C8DA0A44}"/>
              </c:ext>
            </c:extLst>
          </c:dPt>
          <c:dPt>
            <c:idx val="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9A-4682-9C0E-53F3C8DA0A44}"/>
              </c:ext>
            </c:extLst>
          </c:dPt>
          <c:dPt>
            <c:idx val="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9A-4682-9C0E-53F3C8DA0A4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89A-4682-9C0E-53F3C8DA0A44}"/>
              </c:ext>
            </c:extLst>
          </c:dPt>
          <c:dPt>
            <c:idx val="1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89A-4682-9C0E-53F3C8DA0A4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89A-4682-9C0E-53F3C8DA0A44}"/>
              </c:ext>
            </c:extLst>
          </c:dPt>
          <c:dPt>
            <c:idx val="1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89A-4682-9C0E-53F3C8DA0A44}"/>
              </c:ext>
            </c:extLst>
          </c:dPt>
          <c:dPt>
            <c:idx val="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89A-4682-9C0E-53F3C8DA0A44}"/>
              </c:ext>
            </c:extLst>
          </c:dPt>
          <c:dPt>
            <c:idx val="1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89A-4682-9C0E-53F3C8DA0A44}"/>
              </c:ext>
            </c:extLst>
          </c:dPt>
          <c:dPt>
            <c:idx val="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89A-4682-9C0E-53F3C8DA0A44}"/>
              </c:ext>
            </c:extLst>
          </c:dPt>
          <c:dPt>
            <c:idx val="17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89A-4682-9C0E-53F3C8DA0A4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89A-4682-9C0E-53F3C8DA0A44}"/>
              </c:ext>
            </c:extLst>
          </c:dPt>
          <c:dPt>
            <c:idx val="1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89A-4682-9C0E-53F3C8DA0A44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A49E-4990-9D28-19D030E6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tx>
            <c:strRef>
              <c:f>Dashboard!$A$4</c:f>
              <c:strCache>
                <c:ptCount val="1"/>
                <c:pt idx="0">
                  <c:v>Bilgisayar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E-4990-9D28-19D030E6ED03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E-4990-9D28-19D030E6ED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89A-4682-9C0E-53F3C8DA0A44}"/>
              </c:ext>
            </c:extLst>
          </c:dPt>
          <c:val>
            <c:numRef>
              <c:f>Dashboard!$B$4:$D$4</c:f>
              <c:numCache>
                <c:formatCode>General</c:formatCode>
                <c:ptCount val="3"/>
                <c:pt idx="0" formatCode="_-&quot;₺&quot;* #,##0_-;\-&quot;₺&quot;* #,##0_-;_-&quot;₺&quot;* &quot;-&quot;??_-;_-@_-">
                  <c:v>115300</c:v>
                </c:pt>
                <c:pt idx="1">
                  <c:v>193471</c:v>
                </c:pt>
                <c:pt idx="2" formatCode="0%">
                  <c:v>0.37341589721832685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9E-4990-9D28-19D030E6E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86458</xdr:colOff>
      <xdr:row>7</xdr:row>
      <xdr:rowOff>60903</xdr:rowOff>
    </xdr:from>
    <xdr:to>
      <xdr:col>4</xdr:col>
      <xdr:colOff>504138</xdr:colOff>
      <xdr:row>11</xdr:row>
      <xdr:rowOff>183173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LASİYER">
              <a:extLst>
                <a:ext uri="{FF2B5EF4-FFF2-40B4-BE49-F238E27FC236}">
                  <a16:creationId xmlns:a16="http://schemas.microsoft.com/office/drawing/2014/main" id="{9B98CA50-8926-41F3-825A-01465C6D85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SİY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58" y="1394403"/>
              <a:ext cx="3582911" cy="884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5</xdr:col>
      <xdr:colOff>70470</xdr:colOff>
      <xdr:row>2</xdr:row>
      <xdr:rowOff>24179</xdr:rowOff>
    </xdr:from>
    <xdr:to>
      <xdr:col>8</xdr:col>
      <xdr:colOff>520212</xdr:colOff>
      <xdr:row>10</xdr:row>
      <xdr:rowOff>109905</xdr:rowOff>
    </xdr:to>
    <xdr:grpSp>
      <xdr:nvGrpSpPr>
        <xdr:cNvPr id="8" name="Grup 7">
          <a:extLst>
            <a:ext uri="{FF2B5EF4-FFF2-40B4-BE49-F238E27FC236}">
              <a16:creationId xmlns:a16="http://schemas.microsoft.com/office/drawing/2014/main" id="{85837E40-6EC4-430C-B455-7CC965A0D79F}"/>
            </a:ext>
          </a:extLst>
        </xdr:cNvPr>
        <xdr:cNvGrpSpPr/>
      </xdr:nvGrpSpPr>
      <xdr:grpSpPr>
        <a:xfrm>
          <a:off x="3843835" y="405179"/>
          <a:ext cx="2274146" cy="1609726"/>
          <a:chOff x="3939085" y="507755"/>
          <a:chExt cx="2684454" cy="1742176"/>
        </a:xfrm>
      </xdr:grpSpPr>
      <xdr:graphicFrame macro="">
        <xdr:nvGraphicFramePr>
          <xdr:cNvPr id="3" name="Grafik 2">
            <a:extLst>
              <a:ext uri="{FF2B5EF4-FFF2-40B4-BE49-F238E27FC236}">
                <a16:creationId xmlns:a16="http://schemas.microsoft.com/office/drawing/2014/main" id="{DB0B8E62-8AF3-46C3-B7A2-AF0A272B4688}"/>
              </a:ext>
            </a:extLst>
          </xdr:cNvPr>
          <xdr:cNvGraphicFramePr/>
        </xdr:nvGraphicFramePr>
        <xdr:xfrm>
          <a:off x="3939085" y="507755"/>
          <a:ext cx="2684454" cy="1742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D$4">
        <xdr:nvSpPr>
          <xdr:cNvPr id="6" name="Oval 5">
            <a:extLst>
              <a:ext uri="{FF2B5EF4-FFF2-40B4-BE49-F238E27FC236}">
                <a16:creationId xmlns:a16="http://schemas.microsoft.com/office/drawing/2014/main" id="{6B2B6417-6765-4606-8942-CA7B85CA54A5}"/>
              </a:ext>
            </a:extLst>
          </xdr:cNvPr>
          <xdr:cNvSpPr/>
        </xdr:nvSpPr>
        <xdr:spPr>
          <a:xfrm>
            <a:off x="4979439" y="1073609"/>
            <a:ext cx="620801" cy="601683"/>
          </a:xfrm>
          <a:prstGeom prst="ellipse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D8B6425-3550-4C9E-8503-AFF7521E8F57}" type="TxLink">
              <a:rPr lang="en-US" sz="11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37%</a:t>
            </a:fld>
            <a:endParaRPr lang="tr-T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564173</xdr:colOff>
      <xdr:row>11</xdr:row>
      <xdr:rowOff>65943</xdr:rowOff>
    </xdr:from>
    <xdr:to>
      <xdr:col>7</xdr:col>
      <xdr:colOff>564172</xdr:colOff>
      <xdr:row>13</xdr:row>
      <xdr:rowOff>65943</xdr:rowOff>
    </xdr:to>
    <xdr:sp macro="" textlink="$A$4">
      <xdr:nvSpPr>
        <xdr:cNvPr id="9" name="Dikdörtgen 8">
          <a:extLst>
            <a:ext uri="{FF2B5EF4-FFF2-40B4-BE49-F238E27FC236}">
              <a16:creationId xmlns:a16="http://schemas.microsoft.com/office/drawing/2014/main" id="{5A580927-C09C-430D-8F80-9207ECA94F8E}"/>
            </a:ext>
          </a:extLst>
        </xdr:cNvPr>
        <xdr:cNvSpPr/>
      </xdr:nvSpPr>
      <xdr:spPr>
        <a:xfrm>
          <a:off x="4337538" y="2161443"/>
          <a:ext cx="1216269" cy="381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6E9C0-4F5C-43DB-B7DC-A8F19DC293F7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Bilgisayar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202354</xdr:colOff>
      <xdr:row>2</xdr:row>
      <xdr:rowOff>2199</xdr:rowOff>
    </xdr:from>
    <xdr:to>
      <xdr:col>13</xdr:col>
      <xdr:colOff>43962</xdr:colOff>
      <xdr:row>10</xdr:row>
      <xdr:rowOff>87925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1F6470FB-9EDB-40BD-A1AD-12D190AFD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475560</xdr:colOff>
      <xdr:row>4</xdr:row>
      <xdr:rowOff>144034</xdr:rowOff>
    </xdr:from>
    <xdr:to>
      <xdr:col>11</xdr:col>
      <xdr:colOff>393339</xdr:colOff>
      <xdr:row>7</xdr:row>
      <xdr:rowOff>128474</xdr:rowOff>
    </xdr:to>
    <xdr:sp macro="" textlink="$D$5">
      <xdr:nvSpPr>
        <xdr:cNvPr id="13" name="Oval 12">
          <a:extLst>
            <a:ext uri="{FF2B5EF4-FFF2-40B4-BE49-F238E27FC236}">
              <a16:creationId xmlns:a16="http://schemas.microsoft.com/office/drawing/2014/main" id="{A78C2121-50ED-4A78-A365-06EB9E6D6F4F}"/>
            </a:ext>
          </a:extLst>
        </xdr:cNvPr>
        <xdr:cNvSpPr/>
      </xdr:nvSpPr>
      <xdr:spPr>
        <a:xfrm>
          <a:off x="7289598" y="906034"/>
          <a:ext cx="525914" cy="55594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CAEF85D-F20D-4EFE-BD73-97164458D223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t>33%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87923</xdr:colOff>
      <xdr:row>11</xdr:row>
      <xdr:rowOff>43963</xdr:rowOff>
    </xdr:from>
    <xdr:to>
      <xdr:col>12</xdr:col>
      <xdr:colOff>87922</xdr:colOff>
      <xdr:row>13</xdr:row>
      <xdr:rowOff>43963</xdr:rowOff>
    </xdr:to>
    <xdr:sp macro="" textlink="$A$5">
      <xdr:nvSpPr>
        <xdr:cNvPr id="14" name="Dikdörtgen 13">
          <a:extLst>
            <a:ext uri="{FF2B5EF4-FFF2-40B4-BE49-F238E27FC236}">
              <a16:creationId xmlns:a16="http://schemas.microsoft.com/office/drawing/2014/main" id="{F5B74450-82A4-4DEF-9915-9DABF50D77F9}"/>
            </a:ext>
          </a:extLst>
        </xdr:cNvPr>
        <xdr:cNvSpPr/>
      </xdr:nvSpPr>
      <xdr:spPr>
        <a:xfrm>
          <a:off x="6901961" y="2139463"/>
          <a:ext cx="1216269" cy="381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FB70771-9824-46E2-BFA1-2354F07AFB81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t>Laptop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268297</xdr:colOff>
      <xdr:row>2</xdr:row>
      <xdr:rowOff>2199</xdr:rowOff>
    </xdr:from>
    <xdr:to>
      <xdr:col>17</xdr:col>
      <xdr:colOff>109904</xdr:colOff>
      <xdr:row>10</xdr:row>
      <xdr:rowOff>87925</xdr:rowOff>
    </xdr:to>
    <xdr:grpSp>
      <xdr:nvGrpSpPr>
        <xdr:cNvPr id="15" name="Grup 14">
          <a:extLst>
            <a:ext uri="{FF2B5EF4-FFF2-40B4-BE49-F238E27FC236}">
              <a16:creationId xmlns:a16="http://schemas.microsoft.com/office/drawing/2014/main" id="{3928D012-3512-469D-A589-B09D4F369362}"/>
            </a:ext>
          </a:extLst>
        </xdr:cNvPr>
        <xdr:cNvGrpSpPr/>
      </xdr:nvGrpSpPr>
      <xdr:grpSpPr>
        <a:xfrm>
          <a:off x="8906739" y="383199"/>
          <a:ext cx="2274146" cy="1609726"/>
          <a:chOff x="3939085" y="507755"/>
          <a:chExt cx="2684454" cy="1742176"/>
        </a:xfrm>
      </xdr:grpSpPr>
      <xdr:graphicFrame macro="">
        <xdr:nvGraphicFramePr>
          <xdr:cNvPr id="16" name="Grafik 15">
            <a:extLst>
              <a:ext uri="{FF2B5EF4-FFF2-40B4-BE49-F238E27FC236}">
                <a16:creationId xmlns:a16="http://schemas.microsoft.com/office/drawing/2014/main" id="{D508440F-2690-434E-9F03-4C78F397F2AC}"/>
              </a:ext>
            </a:extLst>
          </xdr:cNvPr>
          <xdr:cNvGraphicFramePr/>
        </xdr:nvGraphicFramePr>
        <xdr:xfrm>
          <a:off x="3939085" y="507755"/>
          <a:ext cx="2684454" cy="1742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D$4">
        <xdr:nvSpPr>
          <xdr:cNvPr id="17" name="Oval 16">
            <a:extLst>
              <a:ext uri="{FF2B5EF4-FFF2-40B4-BE49-F238E27FC236}">
                <a16:creationId xmlns:a16="http://schemas.microsoft.com/office/drawing/2014/main" id="{1BAE3EB3-FDA1-4CA5-A055-B91A0E31F3EF}"/>
              </a:ext>
            </a:extLst>
          </xdr:cNvPr>
          <xdr:cNvSpPr/>
        </xdr:nvSpPr>
        <xdr:spPr>
          <a:xfrm>
            <a:off x="4979439" y="1073609"/>
            <a:ext cx="620801" cy="601683"/>
          </a:xfrm>
          <a:prstGeom prst="ellipse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D8B6425-3550-4C9E-8503-AFF7521E8F57}" type="TxLink">
              <a:rPr lang="en-US" sz="1100" b="1" i="0" u="none" strike="noStrike">
                <a:solidFill>
                  <a:schemeClr val="bg1"/>
                </a:solidFill>
                <a:latin typeface="Calibri"/>
                <a:cs typeface="Calibri"/>
              </a:rPr>
              <a:pPr algn="ctr"/>
              <a:t>14%</a:t>
            </a:fld>
            <a:endParaRPr lang="tr-T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14</xdr:col>
      <xdr:colOff>153865</xdr:colOff>
      <xdr:row>11</xdr:row>
      <xdr:rowOff>43963</xdr:rowOff>
    </xdr:from>
    <xdr:to>
      <xdr:col>16</xdr:col>
      <xdr:colOff>153865</xdr:colOff>
      <xdr:row>13</xdr:row>
      <xdr:rowOff>43963</xdr:rowOff>
    </xdr:to>
    <xdr:sp macro="" textlink="$A$6">
      <xdr:nvSpPr>
        <xdr:cNvPr id="18" name="Dikdörtgen 17">
          <a:extLst>
            <a:ext uri="{FF2B5EF4-FFF2-40B4-BE49-F238E27FC236}">
              <a16:creationId xmlns:a16="http://schemas.microsoft.com/office/drawing/2014/main" id="{24BAB408-B495-4446-979A-D46FBBBD89EE}"/>
            </a:ext>
          </a:extLst>
        </xdr:cNvPr>
        <xdr:cNvSpPr/>
      </xdr:nvSpPr>
      <xdr:spPr>
        <a:xfrm>
          <a:off x="9400442" y="2139463"/>
          <a:ext cx="1216269" cy="381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DAFFF11-AE2D-42FD-84E1-F6C908F1C7C2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t>Telefon</a:t>
          </a:fld>
          <a:endParaRPr lang="tr-TR" sz="11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RETMEN" refreshedDate="46001.586977083331" createdVersion="7" refreshedVersion="7" minRefreshableVersion="3" recordCount="93" xr:uid="{81A5EB9C-51CF-4AB6-952F-03AE93B283D7}">
  <cacheSource type="worksheet">
    <worksheetSource ref="B2:G95" sheet="Veri 1"/>
  </cacheSource>
  <cacheFields count="6">
    <cacheField name="TARİH" numFmtId="14">
      <sharedItems containsSemiMixedTypes="0" containsNonDate="0" containsDate="1" containsString="0" minDate="2024-01-23T00:00:00" maxDate="2024-04-27T00:00:00"/>
    </cacheField>
    <cacheField name="PLASİYER" numFmtId="0">
      <sharedItems count="10">
        <s v="Ahmet"/>
        <s v="Faruk"/>
        <s v="Jülide"/>
        <s v="Elif"/>
        <s v="Rauf"/>
        <s v="Kerem"/>
        <s v="Ümit"/>
        <s v="Sercan"/>
        <s v="Emel"/>
        <s v="Emre"/>
      </sharedItems>
    </cacheField>
    <cacheField name="ÜRÜN" numFmtId="0">
      <sharedItems count="3">
        <s v="Laptop"/>
        <s v="Telefon"/>
        <s v="Bilgisayar"/>
      </sharedItems>
    </cacheField>
    <cacheField name="MARKA" numFmtId="0">
      <sharedItems/>
    </cacheField>
    <cacheField name="ADET" numFmtId="0">
      <sharedItems containsSemiMixedTypes="0" containsString="0" containsNumber="1" containsInteger="1" minValue="3" maxValue="10"/>
    </cacheField>
    <cacheField name="FİYAT" numFmtId="0">
      <sharedItems containsSemiMixedTypes="0" containsString="0" containsNumber="1" containsInteger="1" minValue="1000" maxValue="7800"/>
    </cacheField>
  </cacheFields>
  <extLst>
    <ext xmlns:x14="http://schemas.microsoft.com/office/spreadsheetml/2009/9/main" uri="{725AE2AE-9491-48be-B2B4-4EB974FC3084}">
      <x14:pivotCacheDefinition pivotCacheId="15534634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d v="2024-01-23T00:00:00"/>
    <x v="0"/>
    <x v="0"/>
    <s v="Dell"/>
    <n v="3"/>
    <n v="1000"/>
  </r>
  <r>
    <d v="2024-01-23T00:00:00"/>
    <x v="1"/>
    <x v="1"/>
    <s v="Apple"/>
    <n v="4"/>
    <n v="7800"/>
  </r>
  <r>
    <d v="2024-01-23T00:00:00"/>
    <x v="2"/>
    <x v="2"/>
    <s v="Hp"/>
    <n v="5"/>
    <n v="3000"/>
  </r>
  <r>
    <d v="2024-01-26T00:00:00"/>
    <x v="3"/>
    <x v="0"/>
    <s v="Dell"/>
    <n v="4"/>
    <n v="2300"/>
  </r>
  <r>
    <d v="2024-01-26T00:00:00"/>
    <x v="4"/>
    <x v="1"/>
    <s v="Dell"/>
    <n v="3"/>
    <n v="7000"/>
  </r>
  <r>
    <d v="2024-01-26T00:00:00"/>
    <x v="5"/>
    <x v="2"/>
    <s v="Apple"/>
    <n v="3"/>
    <n v="1200"/>
  </r>
  <r>
    <d v="2024-01-29T00:00:00"/>
    <x v="6"/>
    <x v="1"/>
    <s v="Hp"/>
    <n v="4"/>
    <n v="2507"/>
  </r>
  <r>
    <d v="2024-01-29T00:00:00"/>
    <x v="7"/>
    <x v="2"/>
    <s v="Apple"/>
    <n v="5"/>
    <n v="2618"/>
  </r>
  <r>
    <d v="2024-01-29T00:00:00"/>
    <x v="8"/>
    <x v="0"/>
    <s v="Apple"/>
    <n v="6"/>
    <n v="2730"/>
  </r>
  <r>
    <d v="2024-01-30T00:00:00"/>
    <x v="9"/>
    <x v="1"/>
    <s v="Hp"/>
    <n v="7"/>
    <n v="2841"/>
  </r>
  <r>
    <d v="2024-01-30T00:00:00"/>
    <x v="0"/>
    <x v="2"/>
    <s v="Apple"/>
    <n v="6"/>
    <n v="1500"/>
  </r>
  <r>
    <d v="2024-01-30T00:00:00"/>
    <x v="1"/>
    <x v="0"/>
    <s v="Hp"/>
    <n v="7"/>
    <n v="3064"/>
  </r>
  <r>
    <d v="2024-01-31T00:00:00"/>
    <x v="2"/>
    <x v="1"/>
    <s v="Dell"/>
    <n v="7"/>
    <n v="3175"/>
  </r>
  <r>
    <d v="2024-01-31T00:00:00"/>
    <x v="3"/>
    <x v="2"/>
    <s v="Apple"/>
    <n v="7"/>
    <n v="3287"/>
  </r>
  <r>
    <d v="2024-01-31T00:00:00"/>
    <x v="4"/>
    <x v="0"/>
    <s v="Hp"/>
    <n v="7"/>
    <n v="3398"/>
  </r>
  <r>
    <d v="2024-01-31T00:00:00"/>
    <x v="5"/>
    <x v="0"/>
    <s v="Dell"/>
    <n v="8"/>
    <n v="3510"/>
  </r>
  <r>
    <d v="2024-02-01T00:00:00"/>
    <x v="6"/>
    <x v="2"/>
    <s v="Hp"/>
    <n v="8"/>
    <n v="3621"/>
  </r>
  <r>
    <d v="2024-02-02T00:00:00"/>
    <x v="7"/>
    <x v="2"/>
    <s v="Apple"/>
    <n v="8"/>
    <n v="3237"/>
  </r>
  <r>
    <d v="2024-02-02T00:00:00"/>
    <x v="8"/>
    <x v="1"/>
    <s v="Hp"/>
    <n v="8"/>
    <n v="3844"/>
  </r>
  <r>
    <d v="2024-02-02T00:00:00"/>
    <x v="9"/>
    <x v="1"/>
    <s v="Toshiba"/>
    <n v="9"/>
    <n v="3955"/>
  </r>
  <r>
    <d v="2024-02-03T00:00:00"/>
    <x v="0"/>
    <x v="1"/>
    <s v="Asus"/>
    <n v="9"/>
    <n v="4067"/>
  </r>
  <r>
    <d v="2024-02-04T00:00:00"/>
    <x v="1"/>
    <x v="2"/>
    <s v="Toshiba"/>
    <n v="9"/>
    <n v="1000"/>
  </r>
  <r>
    <d v="2024-02-05T00:00:00"/>
    <x v="2"/>
    <x v="0"/>
    <s v="Toshiba"/>
    <n v="9"/>
    <n v="7800"/>
  </r>
  <r>
    <d v="2024-02-05T00:00:00"/>
    <x v="3"/>
    <x v="0"/>
    <s v="Toshiba"/>
    <n v="3"/>
    <n v="3000"/>
  </r>
  <r>
    <d v="2024-02-05T00:00:00"/>
    <x v="4"/>
    <x v="0"/>
    <s v="Asus"/>
    <n v="4"/>
    <n v="2300"/>
  </r>
  <r>
    <d v="2024-02-06T00:00:00"/>
    <x v="5"/>
    <x v="0"/>
    <s v="Apple"/>
    <n v="5"/>
    <n v="7000"/>
  </r>
  <r>
    <d v="2024-02-06T00:00:00"/>
    <x v="6"/>
    <x v="2"/>
    <s v="Apple"/>
    <n v="4"/>
    <n v="1200"/>
  </r>
  <r>
    <d v="2024-02-06T00:00:00"/>
    <x v="7"/>
    <x v="2"/>
    <s v="Asus"/>
    <n v="3"/>
    <n v="2507"/>
  </r>
  <r>
    <d v="2024-02-06T00:00:00"/>
    <x v="8"/>
    <x v="2"/>
    <s v="Asus"/>
    <n v="3"/>
    <n v="2618"/>
  </r>
  <r>
    <d v="2024-02-07T00:00:00"/>
    <x v="9"/>
    <x v="2"/>
    <s v="Asus"/>
    <n v="4"/>
    <n v="2730"/>
  </r>
  <r>
    <d v="2024-02-08T00:00:00"/>
    <x v="0"/>
    <x v="1"/>
    <s v="Asus"/>
    <n v="5"/>
    <n v="2841"/>
  </r>
  <r>
    <d v="2024-02-09T00:00:00"/>
    <x v="1"/>
    <x v="1"/>
    <s v="Apple"/>
    <n v="6"/>
    <n v="1500"/>
  </r>
  <r>
    <d v="2024-02-09T00:00:00"/>
    <x v="2"/>
    <x v="1"/>
    <s v="Apple"/>
    <n v="7"/>
    <n v="3064"/>
  </r>
  <r>
    <d v="2024-02-09T00:00:00"/>
    <x v="3"/>
    <x v="2"/>
    <s v="Apple"/>
    <n v="6"/>
    <n v="3175"/>
  </r>
  <r>
    <d v="2024-02-09T00:00:00"/>
    <x v="4"/>
    <x v="0"/>
    <s v="Hp"/>
    <n v="7"/>
    <n v="3287"/>
  </r>
  <r>
    <d v="2024-02-09T00:00:00"/>
    <x v="5"/>
    <x v="2"/>
    <s v="Hp"/>
    <n v="7"/>
    <n v="3398"/>
  </r>
  <r>
    <d v="2024-02-10T00:00:00"/>
    <x v="6"/>
    <x v="0"/>
    <s v="Toshiba"/>
    <n v="7"/>
    <n v="3510"/>
  </r>
  <r>
    <d v="2024-02-11T00:00:00"/>
    <x v="7"/>
    <x v="0"/>
    <s v="Toshiba"/>
    <n v="7"/>
    <n v="3621"/>
  </r>
  <r>
    <d v="2024-02-12T00:00:00"/>
    <x v="8"/>
    <x v="2"/>
    <s v="Hp"/>
    <n v="8"/>
    <n v="3237"/>
  </r>
  <r>
    <d v="2024-02-12T00:00:00"/>
    <x v="9"/>
    <x v="2"/>
    <s v="Dell"/>
    <n v="8"/>
    <n v="3844"/>
  </r>
  <r>
    <d v="2024-02-13T00:00:00"/>
    <x v="0"/>
    <x v="1"/>
    <s v="Dell"/>
    <n v="8"/>
    <n v="3955"/>
  </r>
  <r>
    <d v="2024-02-14T00:00:00"/>
    <x v="1"/>
    <x v="1"/>
    <s v="Dell"/>
    <n v="8"/>
    <n v="4067"/>
  </r>
  <r>
    <d v="2024-02-14T00:00:00"/>
    <x v="2"/>
    <x v="1"/>
    <s v="Dell"/>
    <n v="9"/>
    <n v="1000"/>
  </r>
  <r>
    <d v="2024-02-14T00:00:00"/>
    <x v="3"/>
    <x v="2"/>
    <s v="Dell"/>
    <n v="9"/>
    <n v="7800"/>
  </r>
  <r>
    <d v="2024-02-14T00:00:00"/>
    <x v="4"/>
    <x v="0"/>
    <s v="Hp"/>
    <n v="9"/>
    <n v="3000"/>
  </r>
  <r>
    <d v="2024-02-15T00:00:00"/>
    <x v="5"/>
    <x v="0"/>
    <s v="Hp"/>
    <n v="9"/>
    <n v="2300"/>
  </r>
  <r>
    <d v="2024-02-15T00:00:00"/>
    <x v="6"/>
    <x v="0"/>
    <s v="Hp"/>
    <n v="3"/>
    <n v="7000"/>
  </r>
  <r>
    <d v="2024-02-15T00:00:00"/>
    <x v="7"/>
    <x v="0"/>
    <s v="Toshiba"/>
    <n v="4"/>
    <n v="1200"/>
  </r>
  <r>
    <d v="2024-02-15T00:00:00"/>
    <x v="8"/>
    <x v="2"/>
    <s v="Toshiba"/>
    <n v="5"/>
    <n v="2507"/>
  </r>
  <r>
    <d v="2024-02-15T00:00:00"/>
    <x v="9"/>
    <x v="2"/>
    <s v="Toshiba"/>
    <n v="4"/>
    <n v="2618"/>
  </r>
  <r>
    <d v="2024-03-12T00:00:00"/>
    <x v="0"/>
    <x v="2"/>
    <s v="Toshiba"/>
    <n v="3"/>
    <n v="2730"/>
  </r>
  <r>
    <d v="2024-03-13T00:00:00"/>
    <x v="1"/>
    <x v="2"/>
    <s v="Dell"/>
    <n v="3"/>
    <n v="2841"/>
  </r>
  <r>
    <d v="2024-03-14T00:00:00"/>
    <x v="2"/>
    <x v="1"/>
    <s v="Dell"/>
    <n v="4"/>
    <n v="1500"/>
  </r>
  <r>
    <d v="2024-03-15T00:00:00"/>
    <x v="3"/>
    <x v="1"/>
    <s v="Dell"/>
    <n v="5"/>
    <n v="3064"/>
  </r>
  <r>
    <d v="2024-03-15T00:00:00"/>
    <x v="4"/>
    <x v="2"/>
    <s v="Apple"/>
    <n v="6"/>
    <n v="3175"/>
  </r>
  <r>
    <d v="2024-03-16T00:00:00"/>
    <x v="5"/>
    <x v="0"/>
    <s v="Apple"/>
    <n v="7"/>
    <n v="3287"/>
  </r>
  <r>
    <d v="2024-03-16T00:00:00"/>
    <x v="6"/>
    <x v="0"/>
    <s v="Apple"/>
    <n v="6"/>
    <n v="3398"/>
  </r>
  <r>
    <d v="2024-03-16T00:00:00"/>
    <x v="7"/>
    <x v="2"/>
    <s v="Apple"/>
    <n v="7"/>
    <n v="3510"/>
  </r>
  <r>
    <d v="2024-03-16T00:00:00"/>
    <x v="8"/>
    <x v="2"/>
    <s v="Apple"/>
    <n v="7"/>
    <n v="3621"/>
  </r>
  <r>
    <d v="2024-03-17T00:00:00"/>
    <x v="9"/>
    <x v="1"/>
    <s v="Hp"/>
    <n v="7"/>
    <n v="3237"/>
  </r>
  <r>
    <d v="2024-03-17T00:00:00"/>
    <x v="0"/>
    <x v="1"/>
    <s v="Hp"/>
    <n v="7"/>
    <n v="3844"/>
  </r>
  <r>
    <d v="2024-03-17T00:00:00"/>
    <x v="1"/>
    <x v="1"/>
    <s v="Hp"/>
    <n v="8"/>
    <n v="3955"/>
  </r>
  <r>
    <d v="2024-03-18T00:00:00"/>
    <x v="2"/>
    <x v="2"/>
    <s v="Hp"/>
    <n v="8"/>
    <n v="4067"/>
  </r>
  <r>
    <d v="2024-03-19T00:00:00"/>
    <x v="3"/>
    <x v="0"/>
    <s v="Dell"/>
    <n v="8"/>
    <n v="1000"/>
  </r>
  <r>
    <d v="2024-03-20T00:00:00"/>
    <x v="4"/>
    <x v="0"/>
    <s v="Dell"/>
    <n v="8"/>
    <n v="7800"/>
  </r>
  <r>
    <d v="2024-03-21T00:00:00"/>
    <x v="5"/>
    <x v="0"/>
    <s v="Dell"/>
    <n v="9"/>
    <n v="3000"/>
  </r>
  <r>
    <d v="2024-03-21T00:00:00"/>
    <x v="6"/>
    <x v="0"/>
    <s v="Apple"/>
    <n v="9"/>
    <n v="2300"/>
  </r>
  <r>
    <d v="2024-03-21T00:00:00"/>
    <x v="7"/>
    <x v="2"/>
    <s v="Asus"/>
    <n v="9"/>
    <n v="7000"/>
  </r>
  <r>
    <d v="2024-03-21T00:00:00"/>
    <x v="8"/>
    <x v="2"/>
    <s v="Asus"/>
    <n v="9"/>
    <n v="1200"/>
  </r>
  <r>
    <d v="2024-03-21T00:00:00"/>
    <x v="9"/>
    <x v="2"/>
    <s v="Asus"/>
    <n v="3"/>
    <n v="2507"/>
  </r>
  <r>
    <d v="2024-04-10T00:00:00"/>
    <x v="0"/>
    <x v="2"/>
    <s v="Asus"/>
    <n v="4"/>
    <n v="2618"/>
  </r>
  <r>
    <d v="2024-04-11T00:00:00"/>
    <x v="1"/>
    <x v="1"/>
    <s v="Toshiba"/>
    <n v="5"/>
    <n v="2730"/>
  </r>
  <r>
    <d v="2024-04-12T00:00:00"/>
    <x v="2"/>
    <x v="1"/>
    <s v="Toshiba"/>
    <n v="4"/>
    <n v="2841"/>
  </r>
  <r>
    <d v="2024-04-12T00:00:00"/>
    <x v="3"/>
    <x v="1"/>
    <s v="Toshiba"/>
    <n v="3"/>
    <n v="1500"/>
  </r>
  <r>
    <d v="2024-04-12T00:00:00"/>
    <x v="4"/>
    <x v="2"/>
    <s v="Toshiba"/>
    <n v="3"/>
    <n v="3064"/>
  </r>
  <r>
    <d v="2024-04-15T00:00:00"/>
    <x v="5"/>
    <x v="0"/>
    <s v="Toshiba"/>
    <n v="4"/>
    <n v="3175"/>
  </r>
  <r>
    <d v="2024-04-16T00:00:00"/>
    <x v="6"/>
    <x v="0"/>
    <s v="Asus"/>
    <n v="5"/>
    <n v="3287"/>
  </r>
  <r>
    <d v="2024-04-17T00:00:00"/>
    <x v="7"/>
    <x v="2"/>
    <s v="Asus"/>
    <n v="6"/>
    <n v="3398"/>
  </r>
  <r>
    <d v="2024-04-17T00:00:00"/>
    <x v="8"/>
    <x v="2"/>
    <s v="Asus"/>
    <n v="7"/>
    <n v="3510"/>
  </r>
  <r>
    <d v="2024-04-17T00:00:00"/>
    <x v="9"/>
    <x v="1"/>
    <s v="Asus"/>
    <n v="6"/>
    <n v="3621"/>
  </r>
  <r>
    <d v="2024-04-17T00:00:00"/>
    <x v="0"/>
    <x v="1"/>
    <s v="Asus"/>
    <n v="7"/>
    <n v="3237"/>
  </r>
  <r>
    <d v="2024-04-17T00:00:00"/>
    <x v="2"/>
    <x v="1"/>
    <s v="Apple"/>
    <n v="7"/>
    <n v="3844"/>
  </r>
  <r>
    <d v="2024-04-18T00:00:00"/>
    <x v="3"/>
    <x v="2"/>
    <s v="Apple"/>
    <n v="7"/>
    <n v="3955"/>
  </r>
  <r>
    <d v="2024-04-19T00:00:00"/>
    <x v="4"/>
    <x v="0"/>
    <s v="Asus"/>
    <n v="7"/>
    <n v="4067"/>
  </r>
  <r>
    <d v="2024-04-20T00:00:00"/>
    <x v="5"/>
    <x v="0"/>
    <s v="Asus"/>
    <n v="8"/>
    <n v="1000"/>
  </r>
  <r>
    <d v="2024-04-21T00:00:00"/>
    <x v="6"/>
    <x v="0"/>
    <s v="Dell"/>
    <n v="8"/>
    <n v="7800"/>
  </r>
  <r>
    <d v="2024-04-21T00:00:00"/>
    <x v="7"/>
    <x v="0"/>
    <s v="Dell"/>
    <n v="8"/>
    <n v="3000"/>
  </r>
  <r>
    <d v="2024-04-21T00:00:00"/>
    <x v="8"/>
    <x v="2"/>
    <s v="Hp"/>
    <n v="8"/>
    <n v="2300"/>
  </r>
  <r>
    <d v="2024-04-24T00:00:00"/>
    <x v="9"/>
    <x v="2"/>
    <s v="Hp"/>
    <n v="9"/>
    <n v="7000"/>
  </r>
  <r>
    <d v="2024-04-24T00:00:00"/>
    <x v="0"/>
    <x v="2"/>
    <s v="Hp"/>
    <n v="9"/>
    <n v="1200"/>
  </r>
  <r>
    <d v="2024-04-24T00:00:00"/>
    <x v="2"/>
    <x v="2"/>
    <s v="Hp"/>
    <n v="9"/>
    <n v="2507"/>
  </r>
  <r>
    <d v="2024-04-25T00:00:00"/>
    <x v="0"/>
    <x v="1"/>
    <s v="Dell"/>
    <n v="9"/>
    <n v="2618"/>
  </r>
  <r>
    <d v="2024-04-26T00:00:00"/>
    <x v="2"/>
    <x v="1"/>
    <s v="Dell"/>
    <n v="10"/>
    <n v="27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FB240-6025-4CAD-A3A6-472E7DE2DD42}" name="PivotTable1" cacheId="4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6">
    <pivotField numFmtId="14" showAll="0"/>
    <pivotField axis="axisPage" showAll="0">
      <items count="11">
        <item x="0"/>
        <item x="3"/>
        <item x="8"/>
        <item x="9"/>
        <item x="1"/>
        <item x="2"/>
        <item x="5"/>
        <item x="4"/>
        <item x="7"/>
        <item x="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Toplam FİYAT" fld="5" baseField="0" baseItem="0" numFmtId="165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PLASİYER" xr10:uid="{E40B40F6-499F-49CF-9300-134C33CB94E8}" sourceName="PLASİYER">
  <pivotTables>
    <pivotTable tabId="2" name="PivotTable1"/>
  </pivotTables>
  <data>
    <tabular pivotCacheId="1553463460">
      <items count="10">
        <i x="0" s="1"/>
        <i x="3" s="1"/>
        <i x="8" s="1"/>
        <i x="9" s="1"/>
        <i x="1" s="1"/>
        <i x="2" s="1"/>
        <i x="5" s="1"/>
        <i x="4" s="1"/>
        <i x="7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SİYER" xr10:uid="{D72194B6-8FF4-43CD-BC65-B228BF854DEC}" cache="Dilimleyici_PLASİYER" caption="PLASİYER" columnCount="5" style="SlicerStyleLight2" rowHeight="241300"/>
</slicer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A5DE-0471-4005-A9C5-C137B502A8C0}">
  <dimension ref="A1:D7"/>
  <sheetViews>
    <sheetView tabSelected="1" zoomScale="130" zoomScaleNormal="130" workbookViewId="0">
      <selection activeCell="H17" sqref="H17"/>
    </sheetView>
  </sheetViews>
  <sheetFormatPr defaultRowHeight="15" x14ac:dyDescent="0.25"/>
  <cols>
    <col min="1" max="1" width="16" bestFit="1" customWidth="1"/>
    <col min="2" max="2" width="13.140625" bestFit="1" customWidth="1"/>
  </cols>
  <sheetData>
    <row r="1" spans="1:4" x14ac:dyDescent="0.25">
      <c r="A1" s="2" t="s">
        <v>1</v>
      </c>
      <c r="B1" t="s">
        <v>24</v>
      </c>
    </row>
    <row r="3" spans="1:4" x14ac:dyDescent="0.25">
      <c r="A3" s="2" t="s">
        <v>25</v>
      </c>
      <c r="B3" t="s">
        <v>27</v>
      </c>
    </row>
    <row r="4" spans="1:4" x14ac:dyDescent="0.25">
      <c r="A4" s="3" t="s">
        <v>13</v>
      </c>
      <c r="B4" s="4">
        <v>115300</v>
      </c>
      <c r="C4">
        <f>GETPIVOTDATA("FİYAT",$A$3)-GETPIVOTDATA("FİYAT",$A$3,"ÜRÜN",A4)</f>
        <v>193471</v>
      </c>
      <c r="D4" s="5">
        <f>GETPIVOTDATA("FİYAT",$A$3,"ÜRÜN",A4)/GETPIVOTDATA("FİYAT",$A$3)</f>
        <v>0.37341589721832685</v>
      </c>
    </row>
    <row r="5" spans="1:4" x14ac:dyDescent="0.25">
      <c r="A5" s="3" t="s">
        <v>7</v>
      </c>
      <c r="B5" s="4">
        <v>103134</v>
      </c>
      <c r="C5">
        <f t="shared" ref="C5:C6" si="0">GETPIVOTDATA("FİYAT",$A$3)-GETPIVOTDATA("FİYAT",$A$3,"ÜRÜN",A5)</f>
        <v>205637</v>
      </c>
      <c r="D5" s="5">
        <f>GETPIVOTDATA("FİYAT",$A$3,"ÜRÜN",A5)/GETPIVOTDATA("FİYAT",$A$3)</f>
        <v>0.33401452856647806</v>
      </c>
    </row>
    <row r="6" spans="1:4" x14ac:dyDescent="0.25">
      <c r="A6" s="3" t="s">
        <v>10</v>
      </c>
      <c r="B6" s="4">
        <v>90337</v>
      </c>
      <c r="C6">
        <f t="shared" si="0"/>
        <v>218434</v>
      </c>
      <c r="D6" s="5">
        <f>GETPIVOTDATA("FİYAT",$A$3,"ÜRÜN",A6)/GETPIVOTDATA("FİYAT",$A$3)</f>
        <v>0.29256957421519508</v>
      </c>
    </row>
    <row r="7" spans="1:4" x14ac:dyDescent="0.25">
      <c r="A7" s="3" t="s">
        <v>26</v>
      </c>
      <c r="B7" s="4">
        <v>308771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E4CA-9996-4522-A978-3BEDB53B3669}">
  <sheetPr codeName="Sayfa1"/>
  <dimension ref="B2:G95"/>
  <sheetViews>
    <sheetView workbookViewId="0">
      <selection activeCell="C9" sqref="C9"/>
    </sheetView>
  </sheetViews>
  <sheetFormatPr defaultRowHeight="15" x14ac:dyDescent="0.25"/>
  <cols>
    <col min="2" max="2" width="10.140625" bestFit="1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 s="1">
        <v>45314</v>
      </c>
      <c r="C3" t="s">
        <v>6</v>
      </c>
      <c r="D3" t="s">
        <v>7</v>
      </c>
      <c r="E3" t="s">
        <v>8</v>
      </c>
      <c r="F3">
        <v>3</v>
      </c>
      <c r="G3">
        <v>1000</v>
      </c>
    </row>
    <row r="4" spans="2:7" x14ac:dyDescent="0.25">
      <c r="B4" s="1">
        <v>45314</v>
      </c>
      <c r="C4" t="s">
        <v>9</v>
      </c>
      <c r="D4" t="s">
        <v>10</v>
      </c>
      <c r="E4" t="s">
        <v>11</v>
      </c>
      <c r="F4">
        <v>4</v>
      </c>
      <c r="G4">
        <v>7800</v>
      </c>
    </row>
    <row r="5" spans="2:7" x14ac:dyDescent="0.25">
      <c r="B5" s="1">
        <v>45314</v>
      </c>
      <c r="C5" t="s">
        <v>12</v>
      </c>
      <c r="D5" t="s">
        <v>13</v>
      </c>
      <c r="E5" t="s">
        <v>14</v>
      </c>
      <c r="F5">
        <v>5</v>
      </c>
      <c r="G5">
        <v>3000</v>
      </c>
    </row>
    <row r="6" spans="2:7" x14ac:dyDescent="0.25">
      <c r="B6" s="1">
        <v>45317</v>
      </c>
      <c r="C6" t="s">
        <v>15</v>
      </c>
      <c r="D6" t="s">
        <v>7</v>
      </c>
      <c r="E6" t="s">
        <v>8</v>
      </c>
      <c r="F6">
        <v>4</v>
      </c>
      <c r="G6">
        <v>2300</v>
      </c>
    </row>
    <row r="7" spans="2:7" x14ac:dyDescent="0.25">
      <c r="B7" s="1">
        <v>45317</v>
      </c>
      <c r="C7" t="s">
        <v>16</v>
      </c>
      <c r="D7" t="s">
        <v>10</v>
      </c>
      <c r="E7" t="s">
        <v>8</v>
      </c>
      <c r="F7">
        <v>3</v>
      </c>
      <c r="G7">
        <v>7000</v>
      </c>
    </row>
    <row r="8" spans="2:7" x14ac:dyDescent="0.25">
      <c r="B8" s="1">
        <v>45317</v>
      </c>
      <c r="C8" t="s">
        <v>17</v>
      </c>
      <c r="D8" t="s">
        <v>13</v>
      </c>
      <c r="E8" t="s">
        <v>11</v>
      </c>
      <c r="F8">
        <v>3</v>
      </c>
      <c r="G8">
        <v>1200</v>
      </c>
    </row>
    <row r="9" spans="2:7" x14ac:dyDescent="0.25">
      <c r="B9" s="1">
        <v>45320</v>
      </c>
      <c r="C9" t="s">
        <v>18</v>
      </c>
      <c r="D9" t="s">
        <v>10</v>
      </c>
      <c r="E9" t="s">
        <v>14</v>
      </c>
      <c r="F9">
        <v>4</v>
      </c>
      <c r="G9">
        <v>2507</v>
      </c>
    </row>
    <row r="10" spans="2:7" x14ac:dyDescent="0.25">
      <c r="B10" s="1">
        <v>45320</v>
      </c>
      <c r="C10" t="s">
        <v>19</v>
      </c>
      <c r="D10" t="s">
        <v>13</v>
      </c>
      <c r="E10" t="s">
        <v>11</v>
      </c>
      <c r="F10">
        <v>5</v>
      </c>
      <c r="G10">
        <v>2618</v>
      </c>
    </row>
    <row r="11" spans="2:7" x14ac:dyDescent="0.25">
      <c r="B11" s="1">
        <v>45320</v>
      </c>
      <c r="C11" t="s">
        <v>20</v>
      </c>
      <c r="D11" t="s">
        <v>7</v>
      </c>
      <c r="E11" t="s">
        <v>11</v>
      </c>
      <c r="F11">
        <v>6</v>
      </c>
      <c r="G11">
        <v>2730</v>
      </c>
    </row>
    <row r="12" spans="2:7" x14ac:dyDescent="0.25">
      <c r="B12" s="1">
        <v>45321</v>
      </c>
      <c r="C12" t="s">
        <v>21</v>
      </c>
      <c r="D12" t="s">
        <v>10</v>
      </c>
      <c r="E12" t="s">
        <v>14</v>
      </c>
      <c r="F12">
        <v>7</v>
      </c>
      <c r="G12">
        <v>2841</v>
      </c>
    </row>
    <row r="13" spans="2:7" x14ac:dyDescent="0.25">
      <c r="B13" s="1">
        <v>45321</v>
      </c>
      <c r="C13" t="s">
        <v>6</v>
      </c>
      <c r="D13" t="s">
        <v>13</v>
      </c>
      <c r="E13" t="s">
        <v>11</v>
      </c>
      <c r="F13">
        <v>6</v>
      </c>
      <c r="G13">
        <v>1500</v>
      </c>
    </row>
    <row r="14" spans="2:7" x14ac:dyDescent="0.25">
      <c r="B14" s="1">
        <v>45321</v>
      </c>
      <c r="C14" t="s">
        <v>9</v>
      </c>
      <c r="D14" t="s">
        <v>7</v>
      </c>
      <c r="E14" t="s">
        <v>14</v>
      </c>
      <c r="F14">
        <v>7</v>
      </c>
      <c r="G14">
        <v>3064</v>
      </c>
    </row>
    <row r="15" spans="2:7" x14ac:dyDescent="0.25">
      <c r="B15" s="1">
        <v>45322</v>
      </c>
      <c r="C15" t="s">
        <v>12</v>
      </c>
      <c r="D15" t="s">
        <v>10</v>
      </c>
      <c r="E15" t="s">
        <v>8</v>
      </c>
      <c r="F15">
        <v>7</v>
      </c>
      <c r="G15">
        <v>3175</v>
      </c>
    </row>
    <row r="16" spans="2:7" x14ac:dyDescent="0.25">
      <c r="B16" s="1">
        <v>45322</v>
      </c>
      <c r="C16" t="s">
        <v>15</v>
      </c>
      <c r="D16" t="s">
        <v>13</v>
      </c>
      <c r="E16" t="s">
        <v>11</v>
      </c>
      <c r="F16">
        <v>7</v>
      </c>
      <c r="G16">
        <v>3287</v>
      </c>
    </row>
    <row r="17" spans="2:7" x14ac:dyDescent="0.25">
      <c r="B17" s="1">
        <v>45322</v>
      </c>
      <c r="C17" t="s">
        <v>16</v>
      </c>
      <c r="D17" t="s">
        <v>7</v>
      </c>
      <c r="E17" t="s">
        <v>14</v>
      </c>
      <c r="F17">
        <v>7</v>
      </c>
      <c r="G17">
        <v>3398</v>
      </c>
    </row>
    <row r="18" spans="2:7" x14ac:dyDescent="0.25">
      <c r="B18" s="1">
        <v>45322</v>
      </c>
      <c r="C18" t="s">
        <v>17</v>
      </c>
      <c r="D18" t="s">
        <v>7</v>
      </c>
      <c r="E18" t="s">
        <v>8</v>
      </c>
      <c r="F18">
        <v>8</v>
      </c>
      <c r="G18">
        <v>3510</v>
      </c>
    </row>
    <row r="19" spans="2:7" x14ac:dyDescent="0.25">
      <c r="B19" s="1">
        <v>45323</v>
      </c>
      <c r="C19" t="s">
        <v>18</v>
      </c>
      <c r="D19" t="s">
        <v>13</v>
      </c>
      <c r="E19" t="s">
        <v>14</v>
      </c>
      <c r="F19">
        <v>8</v>
      </c>
      <c r="G19">
        <v>3621</v>
      </c>
    </row>
    <row r="20" spans="2:7" x14ac:dyDescent="0.25">
      <c r="B20" s="1">
        <v>45324</v>
      </c>
      <c r="C20" t="s">
        <v>19</v>
      </c>
      <c r="D20" t="s">
        <v>13</v>
      </c>
      <c r="E20" t="s">
        <v>11</v>
      </c>
      <c r="F20">
        <v>8</v>
      </c>
      <c r="G20">
        <v>3237</v>
      </c>
    </row>
    <row r="21" spans="2:7" x14ac:dyDescent="0.25">
      <c r="B21" s="1">
        <v>45324</v>
      </c>
      <c r="C21" t="s">
        <v>20</v>
      </c>
      <c r="D21" t="s">
        <v>10</v>
      </c>
      <c r="E21" t="s">
        <v>14</v>
      </c>
      <c r="F21">
        <v>8</v>
      </c>
      <c r="G21">
        <v>3844</v>
      </c>
    </row>
    <row r="22" spans="2:7" x14ac:dyDescent="0.25">
      <c r="B22" s="1">
        <v>45324</v>
      </c>
      <c r="C22" t="s">
        <v>21</v>
      </c>
      <c r="D22" t="s">
        <v>10</v>
      </c>
      <c r="E22" t="s">
        <v>22</v>
      </c>
      <c r="F22">
        <v>9</v>
      </c>
      <c r="G22">
        <v>3955</v>
      </c>
    </row>
    <row r="23" spans="2:7" x14ac:dyDescent="0.25">
      <c r="B23" s="1">
        <v>45325</v>
      </c>
      <c r="C23" t="s">
        <v>6</v>
      </c>
      <c r="D23" t="s">
        <v>10</v>
      </c>
      <c r="E23" t="s">
        <v>23</v>
      </c>
      <c r="F23">
        <v>9</v>
      </c>
      <c r="G23">
        <v>4067</v>
      </c>
    </row>
    <row r="24" spans="2:7" x14ac:dyDescent="0.25">
      <c r="B24" s="1">
        <v>45326</v>
      </c>
      <c r="C24" t="s">
        <v>9</v>
      </c>
      <c r="D24" t="s">
        <v>13</v>
      </c>
      <c r="E24" t="s">
        <v>22</v>
      </c>
      <c r="F24">
        <v>9</v>
      </c>
      <c r="G24">
        <v>1000</v>
      </c>
    </row>
    <row r="25" spans="2:7" x14ac:dyDescent="0.25">
      <c r="B25" s="1">
        <v>45327</v>
      </c>
      <c r="C25" t="s">
        <v>12</v>
      </c>
      <c r="D25" t="s">
        <v>7</v>
      </c>
      <c r="E25" t="s">
        <v>22</v>
      </c>
      <c r="F25">
        <v>9</v>
      </c>
      <c r="G25">
        <v>7800</v>
      </c>
    </row>
    <row r="26" spans="2:7" x14ac:dyDescent="0.25">
      <c r="B26" s="1">
        <v>45327</v>
      </c>
      <c r="C26" t="s">
        <v>15</v>
      </c>
      <c r="D26" t="s">
        <v>7</v>
      </c>
      <c r="E26" t="s">
        <v>22</v>
      </c>
      <c r="F26">
        <v>3</v>
      </c>
      <c r="G26">
        <v>3000</v>
      </c>
    </row>
    <row r="27" spans="2:7" x14ac:dyDescent="0.25">
      <c r="B27" s="1">
        <v>45327</v>
      </c>
      <c r="C27" t="s">
        <v>16</v>
      </c>
      <c r="D27" t="s">
        <v>7</v>
      </c>
      <c r="E27" t="s">
        <v>23</v>
      </c>
      <c r="F27">
        <v>4</v>
      </c>
      <c r="G27">
        <v>2300</v>
      </c>
    </row>
    <row r="28" spans="2:7" x14ac:dyDescent="0.25">
      <c r="B28" s="1">
        <v>45328</v>
      </c>
      <c r="C28" t="s">
        <v>17</v>
      </c>
      <c r="D28" t="s">
        <v>7</v>
      </c>
      <c r="E28" t="s">
        <v>11</v>
      </c>
      <c r="F28">
        <v>5</v>
      </c>
      <c r="G28">
        <v>7000</v>
      </c>
    </row>
    <row r="29" spans="2:7" x14ac:dyDescent="0.25">
      <c r="B29" s="1">
        <v>45328</v>
      </c>
      <c r="C29" t="s">
        <v>18</v>
      </c>
      <c r="D29" t="s">
        <v>13</v>
      </c>
      <c r="E29" t="s">
        <v>11</v>
      </c>
      <c r="F29">
        <v>4</v>
      </c>
      <c r="G29">
        <v>1200</v>
      </c>
    </row>
    <row r="30" spans="2:7" x14ac:dyDescent="0.25">
      <c r="B30" s="1">
        <v>45328</v>
      </c>
      <c r="C30" t="s">
        <v>19</v>
      </c>
      <c r="D30" t="s">
        <v>13</v>
      </c>
      <c r="E30" t="s">
        <v>23</v>
      </c>
      <c r="F30">
        <v>3</v>
      </c>
      <c r="G30">
        <v>2507</v>
      </c>
    </row>
    <row r="31" spans="2:7" x14ac:dyDescent="0.25">
      <c r="B31" s="1">
        <v>45328</v>
      </c>
      <c r="C31" t="s">
        <v>20</v>
      </c>
      <c r="D31" t="s">
        <v>13</v>
      </c>
      <c r="E31" t="s">
        <v>23</v>
      </c>
      <c r="F31">
        <v>3</v>
      </c>
      <c r="G31">
        <v>2618</v>
      </c>
    </row>
    <row r="32" spans="2:7" x14ac:dyDescent="0.25">
      <c r="B32" s="1">
        <v>45329</v>
      </c>
      <c r="C32" t="s">
        <v>21</v>
      </c>
      <c r="D32" t="s">
        <v>13</v>
      </c>
      <c r="E32" t="s">
        <v>23</v>
      </c>
      <c r="F32">
        <v>4</v>
      </c>
      <c r="G32">
        <v>2730</v>
      </c>
    </row>
    <row r="33" spans="2:7" x14ac:dyDescent="0.25">
      <c r="B33" s="1">
        <v>45330</v>
      </c>
      <c r="C33" t="s">
        <v>6</v>
      </c>
      <c r="D33" t="s">
        <v>10</v>
      </c>
      <c r="E33" t="s">
        <v>23</v>
      </c>
      <c r="F33">
        <v>5</v>
      </c>
      <c r="G33">
        <v>2841</v>
      </c>
    </row>
    <row r="34" spans="2:7" x14ac:dyDescent="0.25">
      <c r="B34" s="1">
        <v>45331</v>
      </c>
      <c r="C34" t="s">
        <v>9</v>
      </c>
      <c r="D34" t="s">
        <v>10</v>
      </c>
      <c r="E34" t="s">
        <v>11</v>
      </c>
      <c r="F34">
        <v>6</v>
      </c>
      <c r="G34">
        <v>1500</v>
      </c>
    </row>
    <row r="35" spans="2:7" x14ac:dyDescent="0.25">
      <c r="B35" s="1">
        <v>45331</v>
      </c>
      <c r="C35" t="s">
        <v>12</v>
      </c>
      <c r="D35" t="s">
        <v>10</v>
      </c>
      <c r="E35" t="s">
        <v>11</v>
      </c>
      <c r="F35">
        <v>7</v>
      </c>
      <c r="G35">
        <v>3064</v>
      </c>
    </row>
    <row r="36" spans="2:7" x14ac:dyDescent="0.25">
      <c r="B36" s="1">
        <v>45331</v>
      </c>
      <c r="C36" t="s">
        <v>15</v>
      </c>
      <c r="D36" t="s">
        <v>13</v>
      </c>
      <c r="E36" t="s">
        <v>11</v>
      </c>
      <c r="F36">
        <v>6</v>
      </c>
      <c r="G36">
        <v>3175</v>
      </c>
    </row>
    <row r="37" spans="2:7" x14ac:dyDescent="0.25">
      <c r="B37" s="1">
        <v>45331</v>
      </c>
      <c r="C37" t="s">
        <v>16</v>
      </c>
      <c r="D37" t="s">
        <v>7</v>
      </c>
      <c r="E37" t="s">
        <v>14</v>
      </c>
      <c r="F37">
        <v>7</v>
      </c>
      <c r="G37">
        <v>3287</v>
      </c>
    </row>
    <row r="38" spans="2:7" x14ac:dyDescent="0.25">
      <c r="B38" s="1">
        <v>45331</v>
      </c>
      <c r="C38" t="s">
        <v>17</v>
      </c>
      <c r="D38" t="s">
        <v>13</v>
      </c>
      <c r="E38" t="s">
        <v>14</v>
      </c>
      <c r="F38">
        <v>7</v>
      </c>
      <c r="G38">
        <v>3398</v>
      </c>
    </row>
    <row r="39" spans="2:7" x14ac:dyDescent="0.25">
      <c r="B39" s="1">
        <v>45332</v>
      </c>
      <c r="C39" t="s">
        <v>18</v>
      </c>
      <c r="D39" t="s">
        <v>7</v>
      </c>
      <c r="E39" t="s">
        <v>22</v>
      </c>
      <c r="F39">
        <v>7</v>
      </c>
      <c r="G39">
        <v>3510</v>
      </c>
    </row>
    <row r="40" spans="2:7" x14ac:dyDescent="0.25">
      <c r="B40" s="1">
        <v>45333</v>
      </c>
      <c r="C40" t="s">
        <v>19</v>
      </c>
      <c r="D40" t="s">
        <v>7</v>
      </c>
      <c r="E40" t="s">
        <v>22</v>
      </c>
      <c r="F40">
        <v>7</v>
      </c>
      <c r="G40">
        <v>3621</v>
      </c>
    </row>
    <row r="41" spans="2:7" x14ac:dyDescent="0.25">
      <c r="B41" s="1">
        <v>45334</v>
      </c>
      <c r="C41" t="s">
        <v>20</v>
      </c>
      <c r="D41" t="s">
        <v>13</v>
      </c>
      <c r="E41" t="s">
        <v>14</v>
      </c>
      <c r="F41">
        <v>8</v>
      </c>
      <c r="G41">
        <v>3237</v>
      </c>
    </row>
    <row r="42" spans="2:7" x14ac:dyDescent="0.25">
      <c r="B42" s="1">
        <v>45334</v>
      </c>
      <c r="C42" t="s">
        <v>21</v>
      </c>
      <c r="D42" t="s">
        <v>13</v>
      </c>
      <c r="E42" t="s">
        <v>8</v>
      </c>
      <c r="F42">
        <v>8</v>
      </c>
      <c r="G42">
        <v>3844</v>
      </c>
    </row>
    <row r="43" spans="2:7" x14ac:dyDescent="0.25">
      <c r="B43" s="1">
        <v>45335</v>
      </c>
      <c r="C43" t="s">
        <v>6</v>
      </c>
      <c r="D43" t="s">
        <v>10</v>
      </c>
      <c r="E43" t="s">
        <v>8</v>
      </c>
      <c r="F43">
        <v>8</v>
      </c>
      <c r="G43">
        <v>3955</v>
      </c>
    </row>
    <row r="44" spans="2:7" x14ac:dyDescent="0.25">
      <c r="B44" s="1">
        <v>45336</v>
      </c>
      <c r="C44" t="s">
        <v>9</v>
      </c>
      <c r="D44" t="s">
        <v>10</v>
      </c>
      <c r="E44" t="s">
        <v>8</v>
      </c>
      <c r="F44">
        <v>8</v>
      </c>
      <c r="G44">
        <v>4067</v>
      </c>
    </row>
    <row r="45" spans="2:7" x14ac:dyDescent="0.25">
      <c r="B45" s="1">
        <v>45336</v>
      </c>
      <c r="C45" t="s">
        <v>12</v>
      </c>
      <c r="D45" t="s">
        <v>10</v>
      </c>
      <c r="E45" t="s">
        <v>8</v>
      </c>
      <c r="F45">
        <v>9</v>
      </c>
      <c r="G45">
        <v>1000</v>
      </c>
    </row>
    <row r="46" spans="2:7" x14ac:dyDescent="0.25">
      <c r="B46" s="1">
        <v>45336</v>
      </c>
      <c r="C46" t="s">
        <v>15</v>
      </c>
      <c r="D46" t="s">
        <v>13</v>
      </c>
      <c r="E46" t="s">
        <v>8</v>
      </c>
      <c r="F46">
        <v>9</v>
      </c>
      <c r="G46">
        <v>7800</v>
      </c>
    </row>
    <row r="47" spans="2:7" x14ac:dyDescent="0.25">
      <c r="B47" s="1">
        <v>45336</v>
      </c>
      <c r="C47" t="s">
        <v>16</v>
      </c>
      <c r="D47" t="s">
        <v>7</v>
      </c>
      <c r="E47" t="s">
        <v>14</v>
      </c>
      <c r="F47">
        <v>9</v>
      </c>
      <c r="G47">
        <v>3000</v>
      </c>
    </row>
    <row r="48" spans="2:7" x14ac:dyDescent="0.25">
      <c r="B48" s="1">
        <v>45337</v>
      </c>
      <c r="C48" t="s">
        <v>17</v>
      </c>
      <c r="D48" t="s">
        <v>7</v>
      </c>
      <c r="E48" t="s">
        <v>14</v>
      </c>
      <c r="F48">
        <v>9</v>
      </c>
      <c r="G48">
        <v>2300</v>
      </c>
    </row>
    <row r="49" spans="2:7" x14ac:dyDescent="0.25">
      <c r="B49" s="1">
        <v>45337</v>
      </c>
      <c r="C49" t="s">
        <v>18</v>
      </c>
      <c r="D49" t="s">
        <v>7</v>
      </c>
      <c r="E49" t="s">
        <v>14</v>
      </c>
      <c r="F49">
        <v>3</v>
      </c>
      <c r="G49">
        <v>7000</v>
      </c>
    </row>
    <row r="50" spans="2:7" x14ac:dyDescent="0.25">
      <c r="B50" s="1">
        <v>45337</v>
      </c>
      <c r="C50" t="s">
        <v>19</v>
      </c>
      <c r="D50" t="s">
        <v>7</v>
      </c>
      <c r="E50" t="s">
        <v>22</v>
      </c>
      <c r="F50">
        <v>4</v>
      </c>
      <c r="G50">
        <v>1200</v>
      </c>
    </row>
    <row r="51" spans="2:7" x14ac:dyDescent="0.25">
      <c r="B51" s="1">
        <v>45337</v>
      </c>
      <c r="C51" t="s">
        <v>20</v>
      </c>
      <c r="D51" t="s">
        <v>13</v>
      </c>
      <c r="E51" t="s">
        <v>22</v>
      </c>
      <c r="F51">
        <v>5</v>
      </c>
      <c r="G51">
        <v>2507</v>
      </c>
    </row>
    <row r="52" spans="2:7" x14ac:dyDescent="0.25">
      <c r="B52" s="1">
        <v>45337</v>
      </c>
      <c r="C52" t="s">
        <v>21</v>
      </c>
      <c r="D52" t="s">
        <v>13</v>
      </c>
      <c r="E52" t="s">
        <v>22</v>
      </c>
      <c r="F52">
        <v>4</v>
      </c>
      <c r="G52">
        <v>2618</v>
      </c>
    </row>
    <row r="53" spans="2:7" x14ac:dyDescent="0.25">
      <c r="B53" s="1">
        <v>45363</v>
      </c>
      <c r="C53" t="s">
        <v>6</v>
      </c>
      <c r="D53" t="s">
        <v>13</v>
      </c>
      <c r="E53" t="s">
        <v>22</v>
      </c>
      <c r="F53">
        <v>3</v>
      </c>
      <c r="G53">
        <v>2730</v>
      </c>
    </row>
    <row r="54" spans="2:7" x14ac:dyDescent="0.25">
      <c r="B54" s="1">
        <v>45364</v>
      </c>
      <c r="C54" t="s">
        <v>9</v>
      </c>
      <c r="D54" t="s">
        <v>13</v>
      </c>
      <c r="E54" t="s">
        <v>8</v>
      </c>
      <c r="F54">
        <v>3</v>
      </c>
      <c r="G54">
        <v>2841</v>
      </c>
    </row>
    <row r="55" spans="2:7" x14ac:dyDescent="0.25">
      <c r="B55" s="1">
        <v>45365</v>
      </c>
      <c r="C55" t="s">
        <v>12</v>
      </c>
      <c r="D55" t="s">
        <v>10</v>
      </c>
      <c r="E55" t="s">
        <v>8</v>
      </c>
      <c r="F55">
        <v>4</v>
      </c>
      <c r="G55">
        <v>1500</v>
      </c>
    </row>
    <row r="56" spans="2:7" x14ac:dyDescent="0.25">
      <c r="B56" s="1">
        <v>45366</v>
      </c>
      <c r="C56" t="s">
        <v>15</v>
      </c>
      <c r="D56" t="s">
        <v>10</v>
      </c>
      <c r="E56" t="s">
        <v>8</v>
      </c>
      <c r="F56">
        <v>5</v>
      </c>
      <c r="G56">
        <v>3064</v>
      </c>
    </row>
    <row r="57" spans="2:7" x14ac:dyDescent="0.25">
      <c r="B57" s="1">
        <v>45366</v>
      </c>
      <c r="C57" t="s">
        <v>16</v>
      </c>
      <c r="D57" t="s">
        <v>13</v>
      </c>
      <c r="E57" t="s">
        <v>11</v>
      </c>
      <c r="F57">
        <v>6</v>
      </c>
      <c r="G57">
        <v>3175</v>
      </c>
    </row>
    <row r="58" spans="2:7" x14ac:dyDescent="0.25">
      <c r="B58" s="1">
        <v>45367</v>
      </c>
      <c r="C58" t="s">
        <v>17</v>
      </c>
      <c r="D58" t="s">
        <v>7</v>
      </c>
      <c r="E58" t="s">
        <v>11</v>
      </c>
      <c r="F58">
        <v>7</v>
      </c>
      <c r="G58">
        <v>3287</v>
      </c>
    </row>
    <row r="59" spans="2:7" x14ac:dyDescent="0.25">
      <c r="B59" s="1">
        <v>45367</v>
      </c>
      <c r="C59" t="s">
        <v>18</v>
      </c>
      <c r="D59" t="s">
        <v>7</v>
      </c>
      <c r="E59" t="s">
        <v>11</v>
      </c>
      <c r="F59">
        <v>6</v>
      </c>
      <c r="G59">
        <v>3398</v>
      </c>
    </row>
    <row r="60" spans="2:7" x14ac:dyDescent="0.25">
      <c r="B60" s="1">
        <v>45367</v>
      </c>
      <c r="C60" t="s">
        <v>19</v>
      </c>
      <c r="D60" t="s">
        <v>13</v>
      </c>
      <c r="E60" t="s">
        <v>11</v>
      </c>
      <c r="F60">
        <v>7</v>
      </c>
      <c r="G60">
        <v>3510</v>
      </c>
    </row>
    <row r="61" spans="2:7" x14ac:dyDescent="0.25">
      <c r="B61" s="1">
        <v>45367</v>
      </c>
      <c r="C61" t="s">
        <v>20</v>
      </c>
      <c r="D61" t="s">
        <v>13</v>
      </c>
      <c r="E61" t="s">
        <v>11</v>
      </c>
      <c r="F61">
        <v>7</v>
      </c>
      <c r="G61">
        <v>3621</v>
      </c>
    </row>
    <row r="62" spans="2:7" x14ac:dyDescent="0.25">
      <c r="B62" s="1">
        <v>45368</v>
      </c>
      <c r="C62" t="s">
        <v>21</v>
      </c>
      <c r="D62" t="s">
        <v>10</v>
      </c>
      <c r="E62" t="s">
        <v>14</v>
      </c>
      <c r="F62">
        <v>7</v>
      </c>
      <c r="G62">
        <v>3237</v>
      </c>
    </row>
    <row r="63" spans="2:7" x14ac:dyDescent="0.25">
      <c r="B63" s="1">
        <v>45368</v>
      </c>
      <c r="C63" t="s">
        <v>6</v>
      </c>
      <c r="D63" t="s">
        <v>10</v>
      </c>
      <c r="E63" t="s">
        <v>14</v>
      </c>
      <c r="F63">
        <v>7</v>
      </c>
      <c r="G63">
        <v>3844</v>
      </c>
    </row>
    <row r="64" spans="2:7" x14ac:dyDescent="0.25">
      <c r="B64" s="1">
        <v>45368</v>
      </c>
      <c r="C64" t="s">
        <v>9</v>
      </c>
      <c r="D64" t="s">
        <v>10</v>
      </c>
      <c r="E64" t="s">
        <v>14</v>
      </c>
      <c r="F64">
        <v>8</v>
      </c>
      <c r="G64">
        <v>3955</v>
      </c>
    </row>
    <row r="65" spans="2:7" x14ac:dyDescent="0.25">
      <c r="B65" s="1">
        <v>45369</v>
      </c>
      <c r="C65" t="s">
        <v>12</v>
      </c>
      <c r="D65" t="s">
        <v>13</v>
      </c>
      <c r="E65" t="s">
        <v>14</v>
      </c>
      <c r="F65">
        <v>8</v>
      </c>
      <c r="G65">
        <v>4067</v>
      </c>
    </row>
    <row r="66" spans="2:7" x14ac:dyDescent="0.25">
      <c r="B66" s="1">
        <v>45370</v>
      </c>
      <c r="C66" t="s">
        <v>15</v>
      </c>
      <c r="D66" t="s">
        <v>7</v>
      </c>
      <c r="E66" t="s">
        <v>8</v>
      </c>
      <c r="F66">
        <v>8</v>
      </c>
      <c r="G66">
        <v>1000</v>
      </c>
    </row>
    <row r="67" spans="2:7" x14ac:dyDescent="0.25">
      <c r="B67" s="1">
        <v>45371</v>
      </c>
      <c r="C67" t="s">
        <v>16</v>
      </c>
      <c r="D67" t="s">
        <v>7</v>
      </c>
      <c r="E67" t="s">
        <v>8</v>
      </c>
      <c r="F67">
        <v>8</v>
      </c>
      <c r="G67">
        <v>7800</v>
      </c>
    </row>
    <row r="68" spans="2:7" x14ac:dyDescent="0.25">
      <c r="B68" s="1">
        <v>45372</v>
      </c>
      <c r="C68" t="s">
        <v>17</v>
      </c>
      <c r="D68" t="s">
        <v>7</v>
      </c>
      <c r="E68" t="s">
        <v>8</v>
      </c>
      <c r="F68">
        <v>9</v>
      </c>
      <c r="G68">
        <v>3000</v>
      </c>
    </row>
    <row r="69" spans="2:7" x14ac:dyDescent="0.25">
      <c r="B69" s="1">
        <v>45372</v>
      </c>
      <c r="C69" t="s">
        <v>18</v>
      </c>
      <c r="D69" t="s">
        <v>7</v>
      </c>
      <c r="E69" t="s">
        <v>11</v>
      </c>
      <c r="F69">
        <v>9</v>
      </c>
      <c r="G69">
        <v>2300</v>
      </c>
    </row>
    <row r="70" spans="2:7" x14ac:dyDescent="0.25">
      <c r="B70" s="1">
        <v>45372</v>
      </c>
      <c r="C70" t="s">
        <v>19</v>
      </c>
      <c r="D70" t="s">
        <v>13</v>
      </c>
      <c r="E70" t="s">
        <v>23</v>
      </c>
      <c r="F70">
        <v>9</v>
      </c>
      <c r="G70">
        <v>7000</v>
      </c>
    </row>
    <row r="71" spans="2:7" x14ac:dyDescent="0.25">
      <c r="B71" s="1">
        <v>45372</v>
      </c>
      <c r="C71" t="s">
        <v>20</v>
      </c>
      <c r="D71" t="s">
        <v>13</v>
      </c>
      <c r="E71" t="s">
        <v>23</v>
      </c>
      <c r="F71">
        <v>9</v>
      </c>
      <c r="G71">
        <v>1200</v>
      </c>
    </row>
    <row r="72" spans="2:7" x14ac:dyDescent="0.25">
      <c r="B72" s="1">
        <v>45372</v>
      </c>
      <c r="C72" t="s">
        <v>21</v>
      </c>
      <c r="D72" t="s">
        <v>13</v>
      </c>
      <c r="E72" t="s">
        <v>23</v>
      </c>
      <c r="F72">
        <v>3</v>
      </c>
      <c r="G72">
        <v>2507</v>
      </c>
    </row>
    <row r="73" spans="2:7" x14ac:dyDescent="0.25">
      <c r="B73" s="1">
        <v>45392</v>
      </c>
      <c r="C73" t="s">
        <v>6</v>
      </c>
      <c r="D73" t="s">
        <v>13</v>
      </c>
      <c r="E73" t="s">
        <v>23</v>
      </c>
      <c r="F73">
        <v>4</v>
      </c>
      <c r="G73">
        <v>2618</v>
      </c>
    </row>
    <row r="74" spans="2:7" x14ac:dyDescent="0.25">
      <c r="B74" s="1">
        <v>45393</v>
      </c>
      <c r="C74" t="s">
        <v>9</v>
      </c>
      <c r="D74" t="s">
        <v>10</v>
      </c>
      <c r="E74" t="s">
        <v>22</v>
      </c>
      <c r="F74">
        <v>5</v>
      </c>
      <c r="G74">
        <v>2730</v>
      </c>
    </row>
    <row r="75" spans="2:7" x14ac:dyDescent="0.25">
      <c r="B75" s="1">
        <v>45394</v>
      </c>
      <c r="C75" t="s">
        <v>12</v>
      </c>
      <c r="D75" t="s">
        <v>10</v>
      </c>
      <c r="E75" t="s">
        <v>22</v>
      </c>
      <c r="F75">
        <v>4</v>
      </c>
      <c r="G75">
        <v>2841</v>
      </c>
    </row>
    <row r="76" spans="2:7" x14ac:dyDescent="0.25">
      <c r="B76" s="1">
        <v>45394</v>
      </c>
      <c r="C76" t="s">
        <v>15</v>
      </c>
      <c r="D76" t="s">
        <v>10</v>
      </c>
      <c r="E76" t="s">
        <v>22</v>
      </c>
      <c r="F76">
        <v>3</v>
      </c>
      <c r="G76">
        <v>1500</v>
      </c>
    </row>
    <row r="77" spans="2:7" x14ac:dyDescent="0.25">
      <c r="B77" s="1">
        <v>45394</v>
      </c>
      <c r="C77" t="s">
        <v>16</v>
      </c>
      <c r="D77" t="s">
        <v>13</v>
      </c>
      <c r="E77" t="s">
        <v>22</v>
      </c>
      <c r="F77">
        <v>3</v>
      </c>
      <c r="G77">
        <v>3064</v>
      </c>
    </row>
    <row r="78" spans="2:7" x14ac:dyDescent="0.25">
      <c r="B78" s="1">
        <v>45397</v>
      </c>
      <c r="C78" t="s">
        <v>17</v>
      </c>
      <c r="D78" t="s">
        <v>7</v>
      </c>
      <c r="E78" t="s">
        <v>22</v>
      </c>
      <c r="F78">
        <v>4</v>
      </c>
      <c r="G78">
        <v>3175</v>
      </c>
    </row>
    <row r="79" spans="2:7" x14ac:dyDescent="0.25">
      <c r="B79" s="1">
        <v>45398</v>
      </c>
      <c r="C79" t="s">
        <v>18</v>
      </c>
      <c r="D79" t="s">
        <v>7</v>
      </c>
      <c r="E79" t="s">
        <v>23</v>
      </c>
      <c r="F79">
        <v>5</v>
      </c>
      <c r="G79">
        <v>3287</v>
      </c>
    </row>
    <row r="80" spans="2:7" x14ac:dyDescent="0.25">
      <c r="B80" s="1">
        <v>45399</v>
      </c>
      <c r="C80" t="s">
        <v>19</v>
      </c>
      <c r="D80" t="s">
        <v>13</v>
      </c>
      <c r="E80" t="s">
        <v>23</v>
      </c>
      <c r="F80">
        <v>6</v>
      </c>
      <c r="G80">
        <v>3398</v>
      </c>
    </row>
    <row r="81" spans="2:7" x14ac:dyDescent="0.25">
      <c r="B81" s="1">
        <v>45399</v>
      </c>
      <c r="C81" t="s">
        <v>20</v>
      </c>
      <c r="D81" t="s">
        <v>13</v>
      </c>
      <c r="E81" t="s">
        <v>23</v>
      </c>
      <c r="F81">
        <v>7</v>
      </c>
      <c r="G81">
        <v>3510</v>
      </c>
    </row>
    <row r="82" spans="2:7" x14ac:dyDescent="0.25">
      <c r="B82" s="1">
        <v>45399</v>
      </c>
      <c r="C82" t="s">
        <v>21</v>
      </c>
      <c r="D82" t="s">
        <v>10</v>
      </c>
      <c r="E82" t="s">
        <v>23</v>
      </c>
      <c r="F82">
        <v>6</v>
      </c>
      <c r="G82">
        <v>3621</v>
      </c>
    </row>
    <row r="83" spans="2:7" x14ac:dyDescent="0.25">
      <c r="B83" s="1">
        <v>45399</v>
      </c>
      <c r="C83" t="s">
        <v>6</v>
      </c>
      <c r="D83" t="s">
        <v>10</v>
      </c>
      <c r="E83" t="s">
        <v>23</v>
      </c>
      <c r="F83">
        <v>7</v>
      </c>
      <c r="G83">
        <v>3237</v>
      </c>
    </row>
    <row r="84" spans="2:7" x14ac:dyDescent="0.25">
      <c r="B84" s="1">
        <v>45399</v>
      </c>
      <c r="C84" t="s">
        <v>12</v>
      </c>
      <c r="D84" t="s">
        <v>10</v>
      </c>
      <c r="E84" t="s">
        <v>11</v>
      </c>
      <c r="F84">
        <v>7</v>
      </c>
      <c r="G84">
        <v>3844</v>
      </c>
    </row>
    <row r="85" spans="2:7" x14ac:dyDescent="0.25">
      <c r="B85" s="1">
        <v>45400</v>
      </c>
      <c r="C85" t="s">
        <v>15</v>
      </c>
      <c r="D85" t="s">
        <v>13</v>
      </c>
      <c r="E85" t="s">
        <v>11</v>
      </c>
      <c r="F85">
        <v>7</v>
      </c>
      <c r="G85">
        <v>3955</v>
      </c>
    </row>
    <row r="86" spans="2:7" x14ac:dyDescent="0.25">
      <c r="B86" s="1">
        <v>45401</v>
      </c>
      <c r="C86" t="s">
        <v>16</v>
      </c>
      <c r="D86" t="s">
        <v>7</v>
      </c>
      <c r="E86" t="s">
        <v>23</v>
      </c>
      <c r="F86">
        <v>7</v>
      </c>
      <c r="G86">
        <v>4067</v>
      </c>
    </row>
    <row r="87" spans="2:7" x14ac:dyDescent="0.25">
      <c r="B87" s="1">
        <v>45402</v>
      </c>
      <c r="C87" t="s">
        <v>17</v>
      </c>
      <c r="D87" t="s">
        <v>7</v>
      </c>
      <c r="E87" t="s">
        <v>23</v>
      </c>
      <c r="F87">
        <v>8</v>
      </c>
      <c r="G87">
        <v>1000</v>
      </c>
    </row>
    <row r="88" spans="2:7" x14ac:dyDescent="0.25">
      <c r="B88" s="1">
        <v>45403</v>
      </c>
      <c r="C88" t="s">
        <v>18</v>
      </c>
      <c r="D88" t="s">
        <v>7</v>
      </c>
      <c r="E88" t="s">
        <v>8</v>
      </c>
      <c r="F88">
        <v>8</v>
      </c>
      <c r="G88">
        <v>7800</v>
      </c>
    </row>
    <row r="89" spans="2:7" x14ac:dyDescent="0.25">
      <c r="B89" s="1">
        <v>45403</v>
      </c>
      <c r="C89" t="s">
        <v>19</v>
      </c>
      <c r="D89" t="s">
        <v>7</v>
      </c>
      <c r="E89" t="s">
        <v>8</v>
      </c>
      <c r="F89">
        <v>8</v>
      </c>
      <c r="G89">
        <v>3000</v>
      </c>
    </row>
    <row r="90" spans="2:7" x14ac:dyDescent="0.25">
      <c r="B90" s="1">
        <v>45403</v>
      </c>
      <c r="C90" t="s">
        <v>20</v>
      </c>
      <c r="D90" t="s">
        <v>13</v>
      </c>
      <c r="E90" t="s">
        <v>14</v>
      </c>
      <c r="F90">
        <v>8</v>
      </c>
      <c r="G90">
        <v>2300</v>
      </c>
    </row>
    <row r="91" spans="2:7" x14ac:dyDescent="0.25">
      <c r="B91" s="1">
        <v>45406</v>
      </c>
      <c r="C91" t="s">
        <v>21</v>
      </c>
      <c r="D91" t="s">
        <v>13</v>
      </c>
      <c r="E91" t="s">
        <v>14</v>
      </c>
      <c r="F91">
        <v>9</v>
      </c>
      <c r="G91">
        <v>7000</v>
      </c>
    </row>
    <row r="92" spans="2:7" x14ac:dyDescent="0.25">
      <c r="B92" s="1">
        <v>45406</v>
      </c>
      <c r="C92" t="s">
        <v>6</v>
      </c>
      <c r="D92" t="s">
        <v>13</v>
      </c>
      <c r="E92" t="s">
        <v>14</v>
      </c>
      <c r="F92">
        <v>9</v>
      </c>
      <c r="G92">
        <v>1200</v>
      </c>
    </row>
    <row r="93" spans="2:7" x14ac:dyDescent="0.25">
      <c r="B93" s="1">
        <v>45406</v>
      </c>
      <c r="C93" t="s">
        <v>12</v>
      </c>
      <c r="D93" t="s">
        <v>13</v>
      </c>
      <c r="E93" t="s">
        <v>14</v>
      </c>
      <c r="F93">
        <v>9</v>
      </c>
      <c r="G93">
        <v>2507</v>
      </c>
    </row>
    <row r="94" spans="2:7" x14ac:dyDescent="0.25">
      <c r="B94" s="1">
        <v>45407</v>
      </c>
      <c r="C94" t="s">
        <v>6</v>
      </c>
      <c r="D94" t="s">
        <v>10</v>
      </c>
      <c r="E94" t="s">
        <v>8</v>
      </c>
      <c r="F94">
        <v>9</v>
      </c>
      <c r="G94">
        <v>2618</v>
      </c>
    </row>
    <row r="95" spans="2:7" x14ac:dyDescent="0.25">
      <c r="B95" s="1">
        <v>45408</v>
      </c>
      <c r="C95" t="s">
        <v>12</v>
      </c>
      <c r="D95" t="s">
        <v>10</v>
      </c>
      <c r="E95" t="s">
        <v>8</v>
      </c>
      <c r="F95">
        <v>10</v>
      </c>
      <c r="G95">
        <v>2730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Dashboard</vt:lpstr>
      <vt:lpstr>Veri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2025-12-10T11:00:02Z</dcterms:created>
  <dcterms:modified xsi:type="dcterms:W3CDTF">2025-12-10T13:25:16Z</dcterms:modified>
</cp:coreProperties>
</file>