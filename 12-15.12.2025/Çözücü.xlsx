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hmet\Downloads\"/>
    </mc:Choice>
  </mc:AlternateContent>
  <bookViews>
    <workbookView xWindow="0" yWindow="0" windowWidth="24000" windowHeight="9612"/>
  </bookViews>
  <sheets>
    <sheet name="Sayfa1" sheetId="1" r:id="rId1"/>
  </sheets>
  <definedNames>
    <definedName name="solver_adj" localSheetId="0" hidden="1">Sayfa1!$E$2:$E$6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Sayfa1!$E$2</definedName>
    <definedName name="solver_lhs2" localSheetId="0" hidden="1">Sayfa1!$E$3</definedName>
    <definedName name="solver_lhs3" localSheetId="0" hidden="1">Sayfa1!$E$4</definedName>
    <definedName name="solver_lhs4" localSheetId="0" hidden="1">Sayfa1!$E$5</definedName>
    <definedName name="solver_lhs5" localSheetId="0" hidden="1">Sayfa1!$E$6</definedName>
    <definedName name="solver_lhs6" localSheetId="0" hidden="1">Sayfa1!$E$6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5</definedName>
    <definedName name="solver_nwt" localSheetId="0" hidden="1">1</definedName>
    <definedName name="solver_opt" localSheetId="0" hidden="1">Sayfa1!$E$8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el5" localSheetId="0" hidden="1">1</definedName>
    <definedName name="solver_rel6" localSheetId="0" hidden="1">1</definedName>
    <definedName name="solver_rhs1" localSheetId="0" hidden="1">Sayfa1!$D$2</definedName>
    <definedName name="solver_rhs2" localSheetId="0" hidden="1">Sayfa1!$D$3</definedName>
    <definedName name="solver_rhs3" localSheetId="0" hidden="1">Sayfa1!$D$4</definedName>
    <definedName name="solver_rhs4" localSheetId="0" hidden="1">Sayfa1!$D$5</definedName>
    <definedName name="solver_rhs5" localSheetId="0" hidden="1">Sayfa1!$D$6</definedName>
    <definedName name="solver_rhs6" localSheetId="0" hidden="1">Sayfa1!$C$6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210000</definedName>
    <definedName name="solver_ver" localSheetId="0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1" l="1"/>
  <c r="C19" i="1" s="1"/>
  <c r="C17" i="1"/>
  <c r="H3" i="1"/>
  <c r="H4" i="1"/>
  <c r="H5" i="1"/>
  <c r="H6" i="1"/>
  <c r="H2" i="1"/>
</calcChain>
</file>

<file path=xl/sharedStrings.xml><?xml version="1.0" encoding="utf-8"?>
<sst xmlns="http://schemas.openxmlformats.org/spreadsheetml/2006/main" count="25" uniqueCount="20">
  <si>
    <t>lise1</t>
  </si>
  <si>
    <t>lise2</t>
  </si>
  <si>
    <t>lise3</t>
  </si>
  <si>
    <t>lise4</t>
  </si>
  <si>
    <t>mezun</t>
  </si>
  <si>
    <t>kazanç/öğrenci</t>
  </si>
  <si>
    <t>mevcut kayıtlı öğrenci</t>
  </si>
  <si>
    <t>Alınabilecek maksimum öğrenci</t>
  </si>
  <si>
    <t>hedefler</t>
  </si>
  <si>
    <t>branş</t>
  </si>
  <si>
    <t>kapasite</t>
  </si>
  <si>
    <t>Gelir Toplamı</t>
  </si>
  <si>
    <t>Giderler</t>
  </si>
  <si>
    <t>Personel</t>
  </si>
  <si>
    <t>Vergi</t>
  </si>
  <si>
    <t>Yayın</t>
  </si>
  <si>
    <t>Kira</t>
  </si>
  <si>
    <t>Ofis</t>
  </si>
  <si>
    <t>Gider Toplamı</t>
  </si>
  <si>
    <t>Kar/Zarar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</si>
</sst>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wrapText="1"/>
    </xf>
    <xf numFmtId="4" fontId="0" fillId="0" borderId="0" xfId="0" applyNumberFormat="1"/>
    <xf numFmtId="1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E2" sqref="E2"/>
    </sheetView>
  </sheetViews>
  <sheetFormatPr defaultRowHeight="14.4" x14ac:dyDescent="0.3"/>
  <cols>
    <col min="2" max="2" width="14.44140625" bestFit="1" customWidth="1"/>
    <col min="3" max="3" width="15.44140625" customWidth="1"/>
    <col min="4" max="4" width="19.6640625" customWidth="1"/>
    <col min="5" max="5" width="11.6640625" customWidth="1"/>
  </cols>
  <sheetData>
    <row r="1" spans="1:8" ht="28.8" x14ac:dyDescent="0.3">
      <c r="B1" t="s">
        <v>5</v>
      </c>
      <c r="C1" s="1" t="s">
        <v>6</v>
      </c>
      <c r="D1" s="1" t="s">
        <v>7</v>
      </c>
      <c r="E1" t="s">
        <v>8</v>
      </c>
      <c r="G1" t="s">
        <v>9</v>
      </c>
      <c r="H1" t="s">
        <v>10</v>
      </c>
    </row>
    <row r="2" spans="1:8" x14ac:dyDescent="0.3">
      <c r="A2" t="s">
        <v>0</v>
      </c>
      <c r="B2">
        <v>500</v>
      </c>
      <c r="C2">
        <v>42</v>
      </c>
      <c r="D2">
        <v>25</v>
      </c>
      <c r="E2" s="3">
        <v>18.284790190045122</v>
      </c>
      <c r="G2" t="s">
        <v>0</v>
      </c>
      <c r="H2">
        <f>C2+D2</f>
        <v>67</v>
      </c>
    </row>
    <row r="3" spans="1:8" x14ac:dyDescent="0.3">
      <c r="A3" t="s">
        <v>1</v>
      </c>
      <c r="B3">
        <v>520</v>
      </c>
      <c r="C3">
        <v>52</v>
      </c>
      <c r="D3">
        <v>22</v>
      </c>
      <c r="E3" s="3">
        <v>19.016181065153084</v>
      </c>
      <c r="G3" t="s">
        <v>1</v>
      </c>
      <c r="H3">
        <f t="shared" ref="H3:H6" si="0">C3+D3</f>
        <v>74</v>
      </c>
    </row>
    <row r="4" spans="1:8" x14ac:dyDescent="0.3">
      <c r="A4" t="s">
        <v>2</v>
      </c>
      <c r="B4">
        <v>360</v>
      </c>
      <c r="C4">
        <v>62</v>
      </c>
      <c r="D4">
        <v>27</v>
      </c>
      <c r="E4" s="3">
        <v>13.165048429721365</v>
      </c>
      <c r="G4" t="s">
        <v>2</v>
      </c>
      <c r="H4">
        <f t="shared" si="0"/>
        <v>89</v>
      </c>
    </row>
    <row r="5" spans="1:8" x14ac:dyDescent="0.3">
      <c r="A5" t="s">
        <v>3</v>
      </c>
      <c r="B5">
        <v>320</v>
      </c>
      <c r="C5">
        <v>78</v>
      </c>
      <c r="D5">
        <v>40</v>
      </c>
      <c r="E5" s="3">
        <v>11.702265270863435</v>
      </c>
      <c r="G5" t="s">
        <v>3</v>
      </c>
      <c r="H5">
        <f t="shared" si="0"/>
        <v>118</v>
      </c>
    </row>
    <row r="6" spans="1:8" x14ac:dyDescent="0.3">
      <c r="A6" t="s">
        <v>4</v>
      </c>
      <c r="B6">
        <v>600</v>
      </c>
      <c r="C6">
        <v>125</v>
      </c>
      <c r="D6">
        <v>35</v>
      </c>
      <c r="E6" s="3">
        <v>21.941747382868943</v>
      </c>
      <c r="G6" t="s">
        <v>4</v>
      </c>
      <c r="H6">
        <f t="shared" si="0"/>
        <v>160</v>
      </c>
    </row>
    <row r="8" spans="1:8" x14ac:dyDescent="0.3">
      <c r="D8" t="s">
        <v>11</v>
      </c>
      <c r="E8" s="2">
        <f>SUMPRODUCT(B2:B6,C2:C6)+SUMPRODUCT(B2:B6,E2:E6)</f>
        <v>210999.99999999953</v>
      </c>
    </row>
    <row r="10" spans="1:8" x14ac:dyDescent="0.3">
      <c r="A10" t="s">
        <v>12</v>
      </c>
    </row>
    <row r="11" spans="1:8" x14ac:dyDescent="0.3">
      <c r="A11" t="s">
        <v>13</v>
      </c>
      <c r="C11">
        <v>65000</v>
      </c>
    </row>
    <row r="12" spans="1:8" x14ac:dyDescent="0.3">
      <c r="A12" t="s">
        <v>14</v>
      </c>
      <c r="C12">
        <v>45000</v>
      </c>
    </row>
    <row r="13" spans="1:8" x14ac:dyDescent="0.3">
      <c r="A13" t="s">
        <v>15</v>
      </c>
      <c r="C13">
        <v>16000</v>
      </c>
    </row>
    <row r="14" spans="1:8" x14ac:dyDescent="0.3">
      <c r="A14" t="s">
        <v>16</v>
      </c>
      <c r="C14">
        <v>50000</v>
      </c>
    </row>
    <row r="15" spans="1:8" x14ac:dyDescent="0.3">
      <c r="A15" t="s">
        <v>17</v>
      </c>
      <c r="C15">
        <v>15000</v>
      </c>
    </row>
    <row r="17" spans="1:3" x14ac:dyDescent="0.3">
      <c r="A17" t="s">
        <v>18</v>
      </c>
      <c r="C17">
        <f>SUM(C11:C15)</f>
        <v>191000</v>
      </c>
    </row>
    <row r="19" spans="1:3" x14ac:dyDescent="0.3">
      <c r="A19" t="s">
        <v>19</v>
      </c>
      <c r="C19">
        <f>E8-C17</f>
        <v>19999.999999999534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Mehmet</cp:lastModifiedBy>
  <dcterms:created xsi:type="dcterms:W3CDTF">2022-05-25T13:31:44Z</dcterms:created>
  <dcterms:modified xsi:type="dcterms:W3CDTF">2025-12-14T23:26:09Z</dcterms:modified>
</cp:coreProperties>
</file>