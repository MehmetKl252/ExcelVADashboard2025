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hmet\Downloads\"/>
    </mc:Choice>
  </mc:AlternateContent>
  <bookViews>
    <workbookView xWindow="0" yWindow="0" windowWidth="23040" windowHeight="9084" activeTab="1"/>
  </bookViews>
  <sheets>
    <sheet name="Veriler" sheetId="1" r:id="rId1"/>
    <sheet name="Sayfa2" sheetId="2" r:id="rId2"/>
  </sheets>
  <externalReferences>
    <externalReference r:id="rId3"/>
  </externalReferences>
  <definedNames>
    <definedName name="resim_getir">INDEX(Veriler!$F$2:$F$10,Veriler!$H$1)</definedName>
    <definedName name="resimGetir">INDEX(Veriler!$F$2:$F$10,MATCH([1]Dashboard!#REF!,Veriler!$A$2:$A$10,0))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" i="1" l="1"/>
  <c r="H2" i="1" s="1"/>
</calcChain>
</file>

<file path=xl/sharedStrings.xml><?xml version="1.0" encoding="utf-8"?>
<sst xmlns="http://schemas.openxmlformats.org/spreadsheetml/2006/main" count="27" uniqueCount="26">
  <si>
    <t>Müşteri Kodu</t>
  </si>
  <si>
    <t>Adı</t>
  </si>
  <si>
    <t>Soyadı</t>
  </si>
  <si>
    <t>Birikimi</t>
  </si>
  <si>
    <t>Birikim Hedefi</t>
  </si>
  <si>
    <t>Resmi</t>
  </si>
  <si>
    <t>ÖZGÜR</t>
  </si>
  <si>
    <t>GÖKÇE</t>
  </si>
  <si>
    <t>LEVENT</t>
  </si>
  <si>
    <t>ŞEN</t>
  </si>
  <si>
    <t>HALİL</t>
  </si>
  <si>
    <t>BAYRAK</t>
  </si>
  <si>
    <t>ONUR</t>
  </si>
  <si>
    <t>ÇELİK</t>
  </si>
  <si>
    <t>PELİN</t>
  </si>
  <si>
    <t>EROL</t>
  </si>
  <si>
    <t>ASLIHAN</t>
  </si>
  <si>
    <t>ONSUN</t>
  </si>
  <si>
    <t>HASRET</t>
  </si>
  <si>
    <t>ARSLAN</t>
  </si>
  <si>
    <t>BAYRAM</t>
  </si>
  <si>
    <t>ORMAN</t>
  </si>
  <si>
    <t>KADİR</t>
  </si>
  <si>
    <t>ATACAN</t>
  </si>
  <si>
    <t>Birikim Miktarı</t>
  </si>
  <si>
    <t>Hedefi Tutturma Oranı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</si>
</sst>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\ _₺_-;\-* #,##0\ _₺_-;_-* &quot;-&quot;??\ _₺_-;_-@_-"/>
    <numFmt numFmtId="165" formatCode="_-* #,##0.00\ _₺_-;\-* #,##0.00\ _₺_-;_-* &quot;-&quot;??\ _₺_-;_-@_-"/>
  </numFmts>
  <fonts count="4" x14ac:knownFonts="1">
    <font>
      <sz val="10"/>
      <name val="Arial Tur"/>
      <charset val="162"/>
    </font>
    <font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0"/>
      <name val="Arial Tur"/>
      <charset val="162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65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7">
    <xf numFmtId="0" fontId="0" fillId="0" borderId="0" xfId="0"/>
    <xf numFmtId="0" fontId="2" fillId="2" borderId="0" xfId="3" applyAlignment="1">
      <alignment vertical="center"/>
    </xf>
    <xf numFmtId="164" fontId="2" fillId="2" borderId="0" xfId="3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1" applyNumberFormat="1" applyFont="1" applyAlignment="1">
      <alignment vertical="center"/>
    </xf>
    <xf numFmtId="9" fontId="0" fillId="0" borderId="0" xfId="2" applyFont="1"/>
  </cellXfs>
  <cellStyles count="4">
    <cellStyle name="Normal" xfId="0" builtinId="0"/>
    <cellStyle name="Virgül" xfId="1" builtinId="3"/>
    <cellStyle name="Vurgu1" xfId="3" builtinId="29"/>
    <cellStyle name="Yüzd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11906</xdr:colOff>
      <xdr:row>1</xdr:row>
      <xdr:rowOff>23813</xdr:rowOff>
    </xdr:from>
    <xdr:to>
      <xdr:col>5</xdr:col>
      <xdr:colOff>1008449</xdr:colOff>
      <xdr:row>2</xdr:row>
      <xdr:rowOff>2363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7746" y="679133"/>
          <a:ext cx="996543" cy="7634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15764</xdr:rowOff>
    </xdr:from>
    <xdr:to>
      <xdr:col>5</xdr:col>
      <xdr:colOff>1085978</xdr:colOff>
      <xdr:row>7</xdr:row>
      <xdr:rowOff>59024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31" t="6562" r="3531" b="22008"/>
        <a:stretch/>
      </xdr:blipFill>
      <xdr:spPr>
        <a:xfrm>
          <a:off x="4815840" y="4595384"/>
          <a:ext cx="1085978" cy="828120"/>
        </a:xfrm>
        <a:prstGeom prst="rect">
          <a:avLst/>
        </a:prstGeom>
      </xdr:spPr>
    </xdr:pic>
    <xdr:clientData/>
  </xdr:twoCellAnchor>
  <xdr:twoCellAnchor editAs="oneCell">
    <xdr:from>
      <xdr:col>5</xdr:col>
      <xdr:colOff>11906</xdr:colOff>
      <xdr:row>5</xdr:row>
      <xdr:rowOff>14250</xdr:rowOff>
    </xdr:from>
    <xdr:to>
      <xdr:col>5</xdr:col>
      <xdr:colOff>1008449</xdr:colOff>
      <xdr:row>6</xdr:row>
      <xdr:rowOff>46049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44" r="19934"/>
        <a:stretch/>
      </xdr:blipFill>
      <xdr:spPr>
        <a:xfrm>
          <a:off x="4827746" y="3809010"/>
          <a:ext cx="996543" cy="816659"/>
        </a:xfrm>
        <a:prstGeom prst="rect">
          <a:avLst/>
        </a:prstGeom>
      </xdr:spPr>
    </xdr:pic>
    <xdr:clientData/>
  </xdr:twoCellAnchor>
  <xdr:twoCellAnchor editAs="oneCell">
    <xdr:from>
      <xdr:col>5</xdr:col>
      <xdr:colOff>11906</xdr:colOff>
      <xdr:row>9</xdr:row>
      <xdr:rowOff>17859</xdr:rowOff>
    </xdr:from>
    <xdr:to>
      <xdr:col>5</xdr:col>
      <xdr:colOff>1123632</xdr:colOff>
      <xdr:row>10</xdr:row>
      <xdr:rowOff>16295</xdr:rowOff>
    </xdr:to>
    <xdr:pic>
      <xdr:nvPicPr>
        <xdr:cNvPr id="5" name="Resim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0863"/>
        <a:stretch/>
      </xdr:blipFill>
      <xdr:spPr>
        <a:xfrm>
          <a:off x="4827746" y="6952059"/>
          <a:ext cx="1111726" cy="783296"/>
        </a:xfrm>
        <a:prstGeom prst="rect">
          <a:avLst/>
        </a:prstGeom>
      </xdr:spPr>
    </xdr:pic>
    <xdr:clientData/>
  </xdr:twoCellAnchor>
  <xdr:twoCellAnchor editAs="oneCell">
    <xdr:from>
      <xdr:col>5</xdr:col>
      <xdr:colOff>11906</xdr:colOff>
      <xdr:row>7</xdr:row>
      <xdr:rowOff>24890</xdr:rowOff>
    </xdr:from>
    <xdr:to>
      <xdr:col>6</xdr:col>
      <xdr:colOff>3674</xdr:colOff>
      <xdr:row>7</xdr:row>
      <xdr:rowOff>774748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0684" b="29574"/>
        <a:stretch/>
      </xdr:blipFill>
      <xdr:spPr>
        <a:xfrm>
          <a:off x="4827746" y="5389370"/>
          <a:ext cx="1165248" cy="749858"/>
        </a:xfrm>
        <a:prstGeom prst="rect">
          <a:avLst/>
        </a:prstGeom>
      </xdr:spPr>
    </xdr:pic>
    <xdr:clientData/>
  </xdr:twoCellAnchor>
  <xdr:twoCellAnchor editAs="oneCell">
    <xdr:from>
      <xdr:col>5</xdr:col>
      <xdr:colOff>11907</xdr:colOff>
      <xdr:row>8</xdr:row>
      <xdr:rowOff>20110</xdr:rowOff>
    </xdr:from>
    <xdr:to>
      <xdr:col>5</xdr:col>
      <xdr:colOff>1035031</xdr:colOff>
      <xdr:row>9</xdr:row>
      <xdr:rowOff>19276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0776"/>
        <a:stretch/>
      </xdr:blipFill>
      <xdr:spPr>
        <a:xfrm>
          <a:off x="4827747" y="6169450"/>
          <a:ext cx="1023124" cy="784026"/>
        </a:xfrm>
        <a:prstGeom prst="rect">
          <a:avLst/>
        </a:prstGeom>
      </xdr:spPr>
    </xdr:pic>
    <xdr:clientData/>
  </xdr:twoCellAnchor>
  <xdr:twoCellAnchor editAs="oneCell">
    <xdr:from>
      <xdr:col>5</xdr:col>
      <xdr:colOff>11906</xdr:colOff>
      <xdr:row>4</xdr:row>
      <xdr:rowOff>27233</xdr:rowOff>
    </xdr:from>
    <xdr:to>
      <xdr:col>5</xdr:col>
      <xdr:colOff>937224</xdr:colOff>
      <xdr:row>4</xdr:row>
      <xdr:rowOff>759226</xdr:rowOff>
    </xdr:to>
    <xdr:pic>
      <xdr:nvPicPr>
        <xdr:cNvPr id="8" name="Resim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7746" y="3037133"/>
          <a:ext cx="925318" cy="731993"/>
        </a:xfrm>
        <a:prstGeom prst="rect">
          <a:avLst/>
        </a:prstGeom>
      </xdr:spPr>
    </xdr:pic>
    <xdr:clientData/>
  </xdr:twoCellAnchor>
  <xdr:twoCellAnchor editAs="oneCell">
    <xdr:from>
      <xdr:col>5</xdr:col>
      <xdr:colOff>11907</xdr:colOff>
      <xdr:row>3</xdr:row>
      <xdr:rowOff>10547</xdr:rowOff>
    </xdr:from>
    <xdr:to>
      <xdr:col>5</xdr:col>
      <xdr:colOff>973038</xdr:colOff>
      <xdr:row>4</xdr:row>
      <xdr:rowOff>41411</xdr:rowOff>
    </xdr:to>
    <xdr:pic>
      <xdr:nvPicPr>
        <xdr:cNvPr id="9" name="Resim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00" t="2224" r="-2100" b="23482"/>
        <a:stretch/>
      </xdr:blipFill>
      <xdr:spPr>
        <a:xfrm>
          <a:off x="4827747" y="2235587"/>
          <a:ext cx="961131" cy="815724"/>
        </a:xfrm>
        <a:prstGeom prst="rect">
          <a:avLst/>
        </a:prstGeom>
      </xdr:spPr>
    </xdr:pic>
    <xdr:clientData/>
  </xdr:twoCellAnchor>
  <xdr:twoCellAnchor editAs="oneCell">
    <xdr:from>
      <xdr:col>5</xdr:col>
      <xdr:colOff>11906</xdr:colOff>
      <xdr:row>2</xdr:row>
      <xdr:rowOff>29765</xdr:rowOff>
    </xdr:from>
    <xdr:to>
      <xdr:col>6</xdr:col>
      <xdr:colOff>66675</xdr:colOff>
      <xdr:row>2</xdr:row>
      <xdr:rowOff>752474</xdr:rowOff>
    </xdr:to>
    <xdr:pic>
      <xdr:nvPicPr>
        <xdr:cNvPr id="10" name="Resim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133" t="1599" r="-18133" b="40001"/>
        <a:stretch/>
      </xdr:blipFill>
      <xdr:spPr>
        <a:xfrm>
          <a:off x="4827746" y="1469945"/>
          <a:ext cx="1228249" cy="7227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4</xdr:row>
      <xdr:rowOff>30480</xdr:rowOff>
    </xdr:from>
    <xdr:to>
      <xdr:col>16</xdr:col>
      <xdr:colOff>360259</xdr:colOff>
      <xdr:row>12</xdr:row>
      <xdr:rowOff>49530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214" r="-8571"/>
        <a:stretch/>
      </xdr:blipFill>
      <xdr:spPr>
        <a:xfrm>
          <a:off x="8534400" y="701040"/>
          <a:ext cx="1579459" cy="1360170"/>
        </a:xfrm>
        <a:prstGeom prst="rect">
          <a:avLst/>
        </a:prstGeom>
      </xdr:spPr>
    </xdr:pic>
    <xdr:clientData/>
  </xdr:twoCellAnchor>
  <xdr:twoCellAnchor editAs="oneCell">
    <xdr:from>
      <xdr:col>17</xdr:col>
      <xdr:colOff>375285</xdr:colOff>
      <xdr:row>4</xdr:row>
      <xdr:rowOff>66527</xdr:rowOff>
    </xdr:from>
    <xdr:to>
      <xdr:col>19</xdr:col>
      <xdr:colOff>590550</xdr:colOff>
      <xdr:row>20</xdr:row>
      <xdr:rowOff>104775</xdr:rowOff>
    </xdr:to>
    <xdr:pic>
      <xdr:nvPicPr>
        <xdr:cNvPr id="3" name="Resim 2" descr="Image result for kapaklı kavanoz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000" t="3500" r="15000" b="4501"/>
        <a:stretch/>
      </xdr:blipFill>
      <xdr:spPr bwMode="auto">
        <a:xfrm>
          <a:off x="10738485" y="737087"/>
          <a:ext cx="1434465" cy="27204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r&#351;iv\Veri%20Analizi%20ve%20Dashboard%20Raporlama%2018.12.2024%20Bak&#305;n&#305;z!!!!!!!!\dashboard%20raporlama%20&#246;rnek%20ar&#351;ivi\dashboard%20&#246;&#287;retmen%20hizmet%20i&#231;i%20e&#287;itimi%20proje%20uygulamalar&#305;\8%20daha%20&#246;nce%20yap&#305;ld&#30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Veriler"/>
    </sheetNames>
    <sheetDataSet>
      <sheetData sheetId="0">
        <row r="4">
          <cell r="H4">
            <v>46648473844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selection activeCell="J6" sqref="J6"/>
    </sheetView>
  </sheetViews>
  <sheetFormatPr defaultRowHeight="13.2" x14ac:dyDescent="0.25"/>
  <cols>
    <col min="1" max="1" width="17.44140625" customWidth="1"/>
    <col min="2" max="2" width="12.109375" customWidth="1"/>
    <col min="3" max="3" width="8.6640625" bestFit="1" customWidth="1"/>
    <col min="4" max="5" width="16" customWidth="1"/>
    <col min="6" max="6" width="17.109375" customWidth="1"/>
    <col min="8" max="8" width="9.6640625" customWidth="1"/>
  </cols>
  <sheetData>
    <row r="1" spans="1:8" ht="51.7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H1">
        <f>MATCH([1]Dashboard!H4,Veriler!A2:A10,0)</f>
        <v>3</v>
      </c>
    </row>
    <row r="2" spans="1:8" ht="62.25" customHeight="1" x14ac:dyDescent="0.25">
      <c r="A2" s="3">
        <v>44563543352</v>
      </c>
      <c r="B2" s="4" t="s">
        <v>6</v>
      </c>
      <c r="C2" s="4" t="s">
        <v>7</v>
      </c>
      <c r="D2" s="5">
        <v>3500</v>
      </c>
      <c r="E2" s="5">
        <v>10000</v>
      </c>
      <c r="F2" s="4"/>
      <c r="H2">
        <f>INDEX(F2:F10,H1)</f>
        <v>0</v>
      </c>
    </row>
    <row r="3" spans="1:8" ht="62.25" customHeight="1" x14ac:dyDescent="0.25">
      <c r="A3" s="3">
        <v>56026028368</v>
      </c>
      <c r="B3" s="4" t="s">
        <v>8</v>
      </c>
      <c r="C3" s="4" t="s">
        <v>9</v>
      </c>
      <c r="D3" s="5">
        <v>11500</v>
      </c>
      <c r="E3" s="5">
        <v>12000</v>
      </c>
      <c r="F3" s="4"/>
    </row>
    <row r="4" spans="1:8" ht="62.25" customHeight="1" x14ac:dyDescent="0.25">
      <c r="A4" s="3">
        <v>46648473844</v>
      </c>
      <c r="B4" s="4" t="s">
        <v>10</v>
      </c>
      <c r="C4" s="4" t="s">
        <v>11</v>
      </c>
      <c r="D4" s="5">
        <v>8500</v>
      </c>
      <c r="E4" s="5">
        <v>14000</v>
      </c>
      <c r="F4" s="4"/>
    </row>
    <row r="5" spans="1:8" ht="62.25" customHeight="1" x14ac:dyDescent="0.25">
      <c r="A5" s="3">
        <v>28091089940</v>
      </c>
      <c r="B5" s="4" t="s">
        <v>12</v>
      </c>
      <c r="C5" s="4" t="s">
        <v>13</v>
      </c>
      <c r="D5" s="5">
        <v>6000</v>
      </c>
      <c r="E5" s="5">
        <v>8000</v>
      </c>
      <c r="F5" s="4"/>
    </row>
    <row r="6" spans="1:8" ht="62.25" customHeight="1" x14ac:dyDescent="0.25">
      <c r="A6" s="3">
        <v>13201939390</v>
      </c>
      <c r="B6" s="4" t="s">
        <v>14</v>
      </c>
      <c r="C6" s="4" t="s">
        <v>15</v>
      </c>
      <c r="D6" s="5">
        <v>2250</v>
      </c>
      <c r="E6" s="5">
        <v>18000</v>
      </c>
      <c r="F6" s="4"/>
    </row>
    <row r="7" spans="1:8" ht="62.25" customHeight="1" x14ac:dyDescent="0.25">
      <c r="A7" s="3">
        <v>53761071482</v>
      </c>
      <c r="B7" s="4" t="s">
        <v>16</v>
      </c>
      <c r="C7" s="4" t="s">
        <v>17</v>
      </c>
      <c r="D7" s="5">
        <v>7000</v>
      </c>
      <c r="E7" s="5">
        <v>9500</v>
      </c>
      <c r="F7" s="4"/>
    </row>
    <row r="8" spans="1:8" ht="62.25" customHeight="1" x14ac:dyDescent="0.25">
      <c r="A8" s="3">
        <v>25654820620</v>
      </c>
      <c r="B8" s="4" t="s">
        <v>18</v>
      </c>
      <c r="C8" s="4" t="s">
        <v>19</v>
      </c>
      <c r="D8" s="5">
        <v>7700</v>
      </c>
      <c r="E8" s="5">
        <v>22000</v>
      </c>
      <c r="F8" s="4"/>
    </row>
    <row r="9" spans="1:8" ht="62.25" customHeight="1" x14ac:dyDescent="0.25">
      <c r="A9" s="3">
        <v>55165533238</v>
      </c>
      <c r="B9" s="4" t="s">
        <v>20</v>
      </c>
      <c r="C9" s="4" t="s">
        <v>21</v>
      </c>
      <c r="D9" s="5">
        <v>8400</v>
      </c>
      <c r="E9" s="5">
        <v>24000</v>
      </c>
      <c r="F9" s="4"/>
    </row>
    <row r="10" spans="1:8" ht="62.25" customHeight="1" x14ac:dyDescent="0.25">
      <c r="A10" s="3">
        <v>45757298096</v>
      </c>
      <c r="B10" s="4" t="s">
        <v>22</v>
      </c>
      <c r="C10" s="4" t="s">
        <v>23</v>
      </c>
      <c r="D10" s="5">
        <v>4900</v>
      </c>
      <c r="E10" s="5">
        <v>5000</v>
      </c>
      <c r="F10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C7"/>
  <sheetViews>
    <sheetView tabSelected="1" workbookViewId="0">
      <selection activeCell="C5" sqref="C5"/>
    </sheetView>
  </sheetViews>
  <sheetFormatPr defaultRowHeight="13.2" x14ac:dyDescent="0.25"/>
  <cols>
    <col min="2" max="2" width="19.109375" bestFit="1" customWidth="1"/>
  </cols>
  <sheetData>
    <row r="4" spans="2:3" x14ac:dyDescent="0.25">
      <c r="C4" s="6"/>
    </row>
    <row r="5" spans="2:3" x14ac:dyDescent="0.25">
      <c r="B5" t="s">
        <v>24</v>
      </c>
    </row>
    <row r="6" spans="2:3" x14ac:dyDescent="0.25">
      <c r="B6" t="s">
        <v>4</v>
      </c>
    </row>
    <row r="7" spans="2:3" x14ac:dyDescent="0.25">
      <c r="B7" t="s">
        <v>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Veriler</vt:lpstr>
      <vt:lpstr>Sayfa2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</dc:creator>
  <cp:lastModifiedBy>Mehmet</cp:lastModifiedBy>
  <dcterms:created xsi:type="dcterms:W3CDTF">2025-12-14T22:06:30Z</dcterms:created>
  <dcterms:modified xsi:type="dcterms:W3CDTF">2025-12-14T22:08:56Z</dcterms:modified>
</cp:coreProperties>
</file>