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1560" windowWidth="24000" windowHeight="8832"/>
  </bookViews>
  <sheets>
    <sheet name="SORU1" sheetId="4" r:id="rId1"/>
    <sheet name="SORU2" sheetId="5" r:id="rId2"/>
    <sheet name="SORU3" sheetId="3" r:id="rId3"/>
    <sheet name="SORU4" sheetId="1" r:id="rId4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xlnm._FilterDatabase" localSheetId="1" hidden="1">SORU2!$A$1:$I$118</definedName>
    <definedName name="_xlnm._FilterDatabase" hidden="1">#REF!</definedName>
    <definedName name="A" hidden="1">#REF!</definedName>
    <definedName name="AS2DocOpenMode" hidden="1">"AS2DocumentEdit"</definedName>
    <definedName name="de" localSheetId="0" hidden="1">{#N/A,#N/A,TRUE,"Sales Comparison";#N/A,#N/A,TRUE,"Cum. Summary FFR";#N/A,#N/A,TRUE,"Monthly Summary FFR";#N/A,#N/A,TRUE,"Cum. Summary TL";#N/A,#N/A,TRUE,"Monthly Summary TL"}</definedName>
    <definedName name="de" localSheetId="1" hidden="1">{#N/A,#N/A,TRUE,"Sales Comparison";#N/A,#N/A,TRUE,"Cum. Summary FFR";#N/A,#N/A,TRUE,"Monthly Summary FFR";#N/A,#N/A,TRUE,"Cum. Summary TL";#N/A,#N/A,TRUE,"Monthly Summary TL"}</definedName>
    <definedName name="de" localSheetId="2" hidden="1">{#N/A,#N/A,TRUE,"Sales Comparison";#N/A,#N/A,TRUE,"Cum. Summary FFR";#N/A,#N/A,TRUE,"Monthly Summary FFR";#N/A,#N/A,TRUE,"Cum. Summary TL";#N/A,#N/A,TRUE,"Monthly Summary TL"}</definedName>
    <definedName name="de" hidden="1">{#N/A,#N/A,TRUE,"Sales Comparison";#N/A,#N/A,TRUE,"Cum. Summary FFR";#N/A,#N/A,TRUE,"Monthly Summary FFR";#N/A,#N/A,TRUE,"Cum. Summary TL";#N/A,#N/A,TRUE,"Monthly Summary TL"}</definedName>
    <definedName name="hhhhhh" localSheetId="0" hidden="1">{#N/A,#N/A,TRUE,"Sales Comparison";#N/A,#N/A,TRUE,"Cum. Summary FFR";#N/A,#N/A,TRUE,"Monthly Summary FFR";#N/A,#N/A,TRUE,"Cum. Summary TL";#N/A,#N/A,TRUE,"Monthly Summary TL"}</definedName>
    <definedName name="hhhhhh" localSheetId="1" hidden="1">{#N/A,#N/A,TRUE,"Sales Comparison";#N/A,#N/A,TRUE,"Cum. Summary FFR";#N/A,#N/A,TRUE,"Monthly Summary FFR";#N/A,#N/A,TRUE,"Cum. Summary TL";#N/A,#N/A,TRUE,"Monthly Summary TL"}</definedName>
    <definedName name="hhhhhh" localSheetId="2" hidden="1">{#N/A,#N/A,TRUE,"Sales Comparison";#N/A,#N/A,TRUE,"Cum. Summary FFR";#N/A,#N/A,TRUE,"Monthly Summary FFR";#N/A,#N/A,TRUE,"Cum. Summary TL";#N/A,#N/A,TRUE,"Monthly Summary TL"}</definedName>
    <definedName name="hhhhhh" hidden="1">{#N/A,#N/A,TRUE,"Sales Comparison";#N/A,#N/A,TRUE,"Cum. Summary FFR";#N/A,#N/A,TRUE,"Monthly Summary FFR";#N/A,#N/A,TRUE,"Cum. Summary TL";#N/A,#N/A,TRUE,"Monthly Summary TL"}</definedName>
    <definedName name="OCAL" localSheetId="0" hidden="1">{#N/A,#N/A,TRUE,"Sales Comparison";#N/A,#N/A,TRUE,"Cum. Summary FFR";#N/A,#N/A,TRUE,"Monthly Summary FFR";#N/A,#N/A,TRUE,"Cum. Summary TL";#N/A,#N/A,TRUE,"Monthly Summary TL"}</definedName>
    <definedName name="OCAL" localSheetId="1" hidden="1">{#N/A,#N/A,TRUE,"Sales Comparison";#N/A,#N/A,TRUE,"Cum. Summary FFR";#N/A,#N/A,TRUE,"Monthly Summary FFR";#N/A,#N/A,TRUE,"Cum. Summary TL";#N/A,#N/A,TRUE,"Monthly Summary TL"}</definedName>
    <definedName name="OCAL" localSheetId="2" hidden="1">{#N/A,#N/A,TRUE,"Sales Comparison";#N/A,#N/A,TRUE,"Cum. Summary FFR";#N/A,#N/A,TRUE,"Monthly Summary FFR";#N/A,#N/A,TRUE,"Cum. Summary TL";#N/A,#N/A,TRUE,"Monthly Summary TL"}</definedName>
    <definedName name="OCAL" hidden="1">{#N/A,#N/A,TRUE,"Sales Comparison";#N/A,#N/A,TRUE,"Cum. Summary FFR";#N/A,#N/A,TRUE,"Monthly Summary FFR";#N/A,#N/A,TRUE,"Cum. Summary TL";#N/A,#N/A,TRUE,"Monthly Summary TL"}</definedName>
    <definedName name="SAPFuncF4Help" localSheetId="0" hidden="1">Main.SAPF4Help()</definedName>
    <definedName name="SAPFuncF4Help" localSheetId="1" hidden="1">Main.SAPF4Help()</definedName>
    <definedName name="SAPFuncF4Help" localSheetId="2" hidden="1">Main.SAPF4Help()</definedName>
    <definedName name="SAPFuncF4Help" hidden="1">Main.SAPF4Help()</definedName>
    <definedName name="sdfsdfsdf" localSheetId="0" hidden="1">{#N/A,#N/A,TRUE,"Sales Comparison";#N/A,#N/A,TRUE,"Cum. Summary FFR";#N/A,#N/A,TRUE,"Monthly Summary FFR";#N/A,#N/A,TRUE,"Cum. Summary TL";#N/A,#N/A,TRUE,"Monthly Summary TL"}</definedName>
    <definedName name="sdfsdfsdf" localSheetId="1" hidden="1">{#N/A,#N/A,TRUE,"Sales Comparison";#N/A,#N/A,TRUE,"Cum. Summary FFR";#N/A,#N/A,TRUE,"Monthly Summary FFR";#N/A,#N/A,TRUE,"Cum. Summary TL";#N/A,#N/A,TRUE,"Monthly Summary TL"}</definedName>
    <definedName name="sdfsdfsdf" localSheetId="2" hidden="1">{#N/A,#N/A,TRUE,"Sales Comparison";#N/A,#N/A,TRUE,"Cum. Summary FFR";#N/A,#N/A,TRUE,"Monthly Summary FFR";#N/A,#N/A,TRUE,"Cum. Summary TL";#N/A,#N/A,TRUE,"Monthly Summary TL"}</definedName>
    <definedName name="sdfsdfsdf" hidden="1">{#N/A,#N/A,TRUE,"Sales Comparison";#N/A,#N/A,TRUE,"Cum. Summary FFR";#N/A,#N/A,TRUE,"Monthly Summary FFR";#N/A,#N/A,TRUE,"Cum. Summary TL";#N/A,#N/A,TRUE,"Monthly Summary TL"}</definedName>
    <definedName name="sdsa" localSheetId="0" hidden="1">{#N/A,#N/A,TRUE,"Sales Comparison";#N/A,#N/A,TRUE,"Cum. Summary FFR";#N/A,#N/A,TRUE,"Monthly Summary FFR";#N/A,#N/A,TRUE,"Cum. Summary TL";#N/A,#N/A,TRUE,"Monthly Summary TL"}</definedName>
    <definedName name="sdsa" localSheetId="1" hidden="1">{#N/A,#N/A,TRUE,"Sales Comparison";#N/A,#N/A,TRUE,"Cum. Summary FFR";#N/A,#N/A,TRUE,"Monthly Summary FFR";#N/A,#N/A,TRUE,"Cum. Summary TL";#N/A,#N/A,TRUE,"Monthly Summary TL"}</definedName>
    <definedName name="sdsa" localSheetId="2" hidden="1">{#N/A,#N/A,TRUE,"Sales Comparison";#N/A,#N/A,TRUE,"Cum. Summary FFR";#N/A,#N/A,TRUE,"Monthly Summary FFR";#N/A,#N/A,TRUE,"Cum. Summary TL";#N/A,#N/A,TRUE,"Monthly Summary TL"}</definedName>
    <definedName name="sdsa" hidden="1">{#N/A,#N/A,TRUE,"Sales Comparison";#N/A,#N/A,TRUE,"Cum. Summary FFR";#N/A,#N/A,TRUE,"Monthly Summary FFR";#N/A,#N/A,TRUE,"Cum. Summary TL";#N/A,#N/A,TRUE,"Monthly Summary TL"}</definedName>
    <definedName name="TABLOBİÇİM" hidden="1">#REF!</definedName>
    <definedName name="TextRefCopyRangeCount" hidden="1">2</definedName>
    <definedName name="w" localSheetId="0" hidden="1">{#N/A,#N/A,TRUE,"Sales Comparison";#N/A,#N/A,TRUE,"Cum. Summary FFR";#N/A,#N/A,TRUE,"Monthly Summary FFR";#N/A,#N/A,TRUE,"Cum. Summary TL";#N/A,#N/A,TRUE,"Monthly Summary TL"}</definedName>
    <definedName name="w" localSheetId="1" hidden="1">{#N/A,#N/A,TRUE,"Sales Comparison";#N/A,#N/A,TRUE,"Cum. Summary FFR";#N/A,#N/A,TRUE,"Monthly Summary FFR";#N/A,#N/A,TRUE,"Cum. Summary TL";#N/A,#N/A,TRUE,"Monthly Summary TL"}</definedName>
    <definedName name="w" localSheetId="2" hidden="1">{#N/A,#N/A,TRUE,"Sales Comparison";#N/A,#N/A,TRUE,"Cum. Summary FFR";#N/A,#N/A,TRUE,"Monthly Summary FFR";#N/A,#N/A,TRUE,"Cum. Summary TL";#N/A,#N/A,TRUE,"Monthly Summary TL"}</definedName>
    <definedName name="w" hidden="1">{#N/A,#N/A,TRUE,"Sales Comparison";#N/A,#N/A,TRUE,"Cum. Summary FFR";#N/A,#N/A,TRUE,"Monthly Summary FFR";#N/A,#N/A,TRUE,"Cum. Summary TL";#N/A,#N/A,TRUE,"Monthly Summary TL"}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Monthly._.Report." localSheetId="0" hidden="1">{#N/A,#N/A,TRUE,"Sales Comparison";#N/A,#N/A,TRUE,"Cum. Summary FFR";#N/A,#N/A,TRUE,"Monthly Summary FFR";#N/A,#N/A,TRUE,"Cum. Summary TL";#N/A,#N/A,TRUE,"Monthly Summary TL"}</definedName>
    <definedName name="wrn.Monthly._.Report." localSheetId="1" hidden="1">{#N/A,#N/A,TRUE,"Sales Comparison";#N/A,#N/A,TRUE,"Cum. Summary FFR";#N/A,#N/A,TRUE,"Monthly Summary FFR";#N/A,#N/A,TRUE,"Cum. Summary TL";#N/A,#N/A,TRUE,"Monthly Summary TL"}</definedName>
    <definedName name="wrn.Monthly._.Report." localSheetId="2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8" i="5" l="1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K2" i="3"/>
</calcChain>
</file>

<file path=xl/comments1.xml><?xml version="1.0" encoding="utf-8"?>
<comments xmlns="http://schemas.openxmlformats.org/spreadsheetml/2006/main">
  <authors>
    <author>muhasebe</author>
  </authors>
  <commentList>
    <comment ref="G1" authorId="0" shapeId="0">
      <text>
        <r>
          <rPr>
            <b/>
            <sz val="9"/>
            <color indexed="81"/>
            <rFont val="Tahoma"/>
            <charset val="1"/>
          </rPr>
          <t>EĞER(VE(C2&lt;&gt;"-";D2&lt;&gt;"-";E2&lt;&gt;"-";F2&lt;&gt;"-");ORTALAMA(C2:F2);"mazeret")</t>
        </r>
      </text>
    </comment>
    <comment ref="A25" authorId="0" shapeId="0">
      <text>
        <r>
          <rPr>
            <b/>
            <sz val="9"/>
            <color indexed="81"/>
            <rFont val="Tahoma"/>
            <charset val="1"/>
          </rPr>
          <t>İNDİS(B2:B23;KAÇINCI(MAK(G2:G23);G2:G23;0))</t>
        </r>
      </text>
    </comment>
  </commentList>
</comments>
</file>

<file path=xl/comments2.xml><?xml version="1.0" encoding="utf-8"?>
<comments xmlns="http://schemas.openxmlformats.org/spreadsheetml/2006/main">
  <authors>
    <author>pc</author>
    <author>muhasebe</author>
  </authors>
  <commentList>
    <comment ref="I1" authorId="0" shapeId="0">
      <text>
        <r>
          <rPr>
            <sz val="9"/>
            <color indexed="81"/>
            <rFont val="Tahoma"/>
            <family val="2"/>
            <charset val="162"/>
          </rPr>
          <t>SATIŞTARİHİNİN BİR SONRAKİ AYININ SON GÜNÜ ÖDEME YAPILMALIDIR
SERİAY(H3;1)</t>
        </r>
      </text>
    </comment>
    <comment ref="M1" authorId="1" shapeId="0">
      <text>
        <r>
          <rPr>
            <b/>
            <sz val="9"/>
            <color indexed="81"/>
            <rFont val="Tahoma"/>
            <charset val="1"/>
          </rPr>
          <t>VSEÇTOPLA(A:I;E1;K1:L2)</t>
        </r>
      </text>
    </comment>
  </commentList>
</comments>
</file>

<file path=xl/comments3.xml><?xml version="1.0" encoding="utf-8"?>
<comments xmlns="http://schemas.openxmlformats.org/spreadsheetml/2006/main">
  <authors>
    <author>muhasebe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BİRLEŞTİR(KÜÇÜKHARF(YERİNEKOY(B2;" ";""));GÜN(C2))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SAĞDAN(KIRP(A2);5)</t>
        </r>
      </text>
    </comment>
  </commentList>
</comments>
</file>

<file path=xl/sharedStrings.xml><?xml version="1.0" encoding="utf-8"?>
<sst xmlns="http://schemas.openxmlformats.org/spreadsheetml/2006/main" count="595" uniqueCount="109">
  <si>
    <t>ürün adedi</t>
  </si>
  <si>
    <t>Indirimli Fiyat</t>
  </si>
  <si>
    <t>fiyat</t>
  </si>
  <si>
    <t>satılan oran</t>
  </si>
  <si>
    <t>Ilk fiyattan satilan urun orani</t>
  </si>
  <si>
    <t>ilk fiyat</t>
  </si>
  <si>
    <t>indirimli fiyat</t>
  </si>
  <si>
    <t>Toplam kazanç</t>
  </si>
  <si>
    <t>TC KİMLİK NO</t>
  </si>
  <si>
    <t>ADI SOYADI</t>
  </si>
  <si>
    <t>MATEMATİK</t>
  </si>
  <si>
    <t>TÜRKÇE</t>
  </si>
  <si>
    <t>TARİH</t>
  </si>
  <si>
    <t>COĞRAFYA</t>
  </si>
  <si>
    <t>ORTALAMA</t>
  </si>
  <si>
    <t>00011403002</t>
  </si>
  <si>
    <t>Başak TÜRKAN</t>
  </si>
  <si>
    <t>00011403003</t>
  </si>
  <si>
    <t>Ebru İŞMEN</t>
  </si>
  <si>
    <t>00011403004</t>
  </si>
  <si>
    <t>Aydın ATİK</t>
  </si>
  <si>
    <t>00011403005</t>
  </si>
  <si>
    <t>Erhan YAZGI</t>
  </si>
  <si>
    <t>00011403006</t>
  </si>
  <si>
    <t>Özlem KOYUNCU</t>
  </si>
  <si>
    <t>00011403007</t>
  </si>
  <si>
    <t>Serkan GÜREL</t>
  </si>
  <si>
    <t>00011403008</t>
  </si>
  <si>
    <t>Emrah CENGİZ</t>
  </si>
  <si>
    <t>00011403009</t>
  </si>
  <si>
    <t>Serpil KARABULAK</t>
  </si>
  <si>
    <t>00011403010</t>
  </si>
  <si>
    <t>Erkan DAKDEVİR</t>
  </si>
  <si>
    <t>00011403011</t>
  </si>
  <si>
    <t>Selim ÇETİNER</t>
  </si>
  <si>
    <t>00011403012</t>
  </si>
  <si>
    <t>Nuray YAMAK</t>
  </si>
  <si>
    <t>-</t>
  </si>
  <si>
    <t>00011403013</t>
  </si>
  <si>
    <t>A. Ata DUMAN</t>
  </si>
  <si>
    <t>00011403014</t>
  </si>
  <si>
    <t>Ender DURMAZ</t>
  </si>
  <si>
    <t>00011403015</t>
  </si>
  <si>
    <t>Taner SEZER</t>
  </si>
  <si>
    <t>00011403016</t>
  </si>
  <si>
    <t>Nurşen YİĞİT</t>
  </si>
  <si>
    <t>00011403017</t>
  </si>
  <si>
    <t>Tuğçe KASIRGA</t>
  </si>
  <si>
    <t>00011403018</t>
  </si>
  <si>
    <t>Buket KURT</t>
  </si>
  <si>
    <t>00011403019</t>
  </si>
  <si>
    <t>Halis KIZIL</t>
  </si>
  <si>
    <t>00011403020</t>
  </si>
  <si>
    <t>Zehra YILMAZ</t>
  </si>
  <si>
    <t>00011403021</t>
  </si>
  <si>
    <t>Dilay YAPAR</t>
  </si>
  <si>
    <t>00011403022</t>
  </si>
  <si>
    <t>Levent VARLIK</t>
  </si>
  <si>
    <t>00011403023</t>
  </si>
  <si>
    <t>Esin KAYA</t>
  </si>
  <si>
    <t>ORTALAMASI EN YÜKSEK OLAN ÖĞRENCİNİN ADI VE SOYADI NEDİR</t>
  </si>
  <si>
    <t>DOĞUM TARİHİ</t>
  </si>
  <si>
    <t>KULLANICI ADI</t>
  </si>
  <si>
    <t>ŞİFRE</t>
  </si>
  <si>
    <t>ÜRÜN</t>
  </si>
  <si>
    <t>MARKA</t>
  </si>
  <si>
    <t>ŞEHİR</t>
  </si>
  <si>
    <t>BÖLGE</t>
  </si>
  <si>
    <t>ADET</t>
  </si>
  <si>
    <t>FİYAT</t>
  </si>
  <si>
    <t>TUTAR</t>
  </si>
  <si>
    <t>SATIŞ 
TARİHİ</t>
  </si>
  <si>
    <t>SON ÖDEME TARİHİ</t>
  </si>
  <si>
    <t>ADET TOPLAMI
VSEÇTOPLA</t>
  </si>
  <si>
    <t>DVD</t>
  </si>
  <si>
    <t>SAMSUNG</t>
  </si>
  <si>
    <t>ADANA</t>
  </si>
  <si>
    <t>AKDENİZ</t>
  </si>
  <si>
    <t>TELEVİZYON</t>
  </si>
  <si>
    <t>İSTANBUL</t>
  </si>
  <si>
    <t>ANTALYA</t>
  </si>
  <si>
    <t>MARMARA</t>
  </si>
  <si>
    <t>İZMİR</t>
  </si>
  <si>
    <t>EGE</t>
  </si>
  <si>
    <t>PIONERR</t>
  </si>
  <si>
    <t>TRABZON</t>
  </si>
  <si>
    <t>KARADENİZ</t>
  </si>
  <si>
    <t>SAMSUN</t>
  </si>
  <si>
    <t>NOTEBOOK</t>
  </si>
  <si>
    <t>TOSHIBA</t>
  </si>
  <si>
    <t>BURSA</t>
  </si>
  <si>
    <t>dvd</t>
  </si>
  <si>
    <t>ESKİŞEHİR</t>
  </si>
  <si>
    <t>İÇ ANADOLU</t>
  </si>
  <si>
    <t>SONY</t>
  </si>
  <si>
    <t>MANİSA</t>
  </si>
  <si>
    <t>ASUS</t>
  </si>
  <si>
    <t>IBM</t>
  </si>
  <si>
    <t>TABLET</t>
  </si>
  <si>
    <t>ANKARA</t>
  </si>
  <si>
    <t>asus</t>
  </si>
  <si>
    <t>ACER</t>
  </si>
  <si>
    <t>HP</t>
  </si>
  <si>
    <t>canon</t>
  </si>
  <si>
    <t>PHILIPS</t>
  </si>
  <si>
    <t>LG</t>
  </si>
  <si>
    <t>YAZICI</t>
  </si>
  <si>
    <t>LEXMARK</t>
  </si>
  <si>
    <t>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</si>
</sst>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₺&quot;* #,##0.00_-;\-&quot;₺&quot;* #,##0.00_-;_-&quot;₺&quot;* &quot;-&quot;??_-;_-@_-"/>
    <numFmt numFmtId="164" formatCode="#,##0\ &quot;₺&quot;"/>
    <numFmt numFmtId="165" formatCode="_-&quot;₺&quot;* #,##0_-;\-&quot;₺&quot;* #,##0_-;_-&quot;₺&quot;* &quot;-&quot;??_-;_-@_-"/>
    <numFmt numFmtId="166" formatCode="#,##0.0\ &quot;₺&quot;"/>
    <numFmt numFmtId="167" formatCode="dd/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color indexed="81"/>
      <name val="Tahoma"/>
      <charset val="1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u/>
      <sz val="11"/>
      <color theme="10"/>
      <name val="Calibri"/>
      <family val="2"/>
      <charset val="162"/>
      <scheme val="minor"/>
    </font>
    <font>
      <sz val="9"/>
      <color indexed="8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0" xfId="1" applyNumberFormat="1" applyFont="1"/>
    <xf numFmtId="9" fontId="0" fillId="0" borderId="0" xfId="2" applyFont="1"/>
    <xf numFmtId="0" fontId="4" fillId="0" borderId="1" xfId="0" applyFont="1" applyBorder="1"/>
    <xf numFmtId="166" fontId="4" fillId="0" borderId="2" xfId="0" applyNumberFormat="1" applyFont="1" applyBorder="1" applyAlignment="1">
      <alignment horizontal="center" vertical="center"/>
    </xf>
    <xf numFmtId="0" fontId="2" fillId="3" borderId="3" xfId="3" applyFont="1" applyFill="1" applyBorder="1"/>
    <xf numFmtId="0" fontId="2" fillId="3" borderId="4" xfId="3" applyFont="1" applyFill="1" applyBorder="1"/>
    <xf numFmtId="0" fontId="1" fillId="0" borderId="0" xfId="3"/>
    <xf numFmtId="0" fontId="1" fillId="4" borderId="3" xfId="3" applyNumberFormat="1" applyFont="1" applyFill="1" applyBorder="1"/>
    <xf numFmtId="0" fontId="1" fillId="4" borderId="3" xfId="3" applyFont="1" applyFill="1" applyBorder="1"/>
    <xf numFmtId="0" fontId="5" fillId="4" borderId="3" xfId="3" applyFont="1" applyFill="1" applyBorder="1" applyAlignment="1">
      <alignment horizontal="left"/>
    </xf>
    <xf numFmtId="1" fontId="1" fillId="4" borderId="3" xfId="3" applyNumberFormat="1" applyFont="1" applyFill="1" applyBorder="1" applyAlignment="1">
      <alignment horizontal="left"/>
    </xf>
    <xf numFmtId="1" fontId="1" fillId="4" borderId="4" xfId="3" applyNumberFormat="1" applyFont="1" applyFill="1" applyBorder="1" applyAlignment="1">
      <alignment horizontal="left"/>
    </xf>
    <xf numFmtId="1" fontId="1" fillId="0" borderId="0" xfId="3" applyNumberFormat="1"/>
    <xf numFmtId="0" fontId="1" fillId="0" borderId="3" xfId="3" applyNumberFormat="1" applyFont="1" applyBorder="1"/>
    <xf numFmtId="0" fontId="5" fillId="0" borderId="3" xfId="3" applyFont="1" applyBorder="1" applyAlignment="1">
      <alignment horizontal="left"/>
    </xf>
    <xf numFmtId="1" fontId="1" fillId="0" borderId="3" xfId="3" applyNumberFormat="1" applyFont="1" applyBorder="1" applyAlignment="1">
      <alignment horizontal="left"/>
    </xf>
    <xf numFmtId="0" fontId="1" fillId="0" borderId="5" xfId="3" applyNumberFormat="1" applyFont="1" applyBorder="1"/>
    <xf numFmtId="0" fontId="5" fillId="0" borderId="5" xfId="3" applyFont="1" applyBorder="1" applyAlignment="1">
      <alignment horizontal="left"/>
    </xf>
    <xf numFmtId="1" fontId="1" fillId="0" borderId="5" xfId="3" applyNumberFormat="1" applyFont="1" applyBorder="1" applyAlignment="1">
      <alignment horizontal="left"/>
    </xf>
    <xf numFmtId="14" fontId="5" fillId="4" borderId="3" xfId="3" applyNumberFormat="1" applyFont="1" applyFill="1" applyBorder="1" applyAlignment="1">
      <alignment horizontal="left"/>
    </xf>
    <xf numFmtId="0" fontId="1" fillId="4" borderId="4" xfId="3" applyFont="1" applyFill="1" applyBorder="1"/>
    <xf numFmtId="0" fontId="1" fillId="0" borderId="3" xfId="3" applyFont="1" applyBorder="1"/>
    <xf numFmtId="14" fontId="5" fillId="0" borderId="3" xfId="3" applyNumberFormat="1" applyFont="1" applyBorder="1" applyAlignment="1">
      <alignment horizontal="left"/>
    </xf>
    <xf numFmtId="0" fontId="1" fillId="0" borderId="5" xfId="3" applyFont="1" applyBorder="1"/>
    <xf numFmtId="0" fontId="7" fillId="2" borderId="6" xfId="3" applyNumberFormat="1" applyFont="1" applyFill="1" applyBorder="1" applyAlignment="1">
      <alignment horizontal="center" vertical="center"/>
    </xf>
    <xf numFmtId="14" fontId="7" fillId="2" borderId="6" xfId="3" applyNumberFormat="1" applyFont="1" applyFill="1" applyBorder="1" applyAlignment="1">
      <alignment horizontal="center" vertical="center" wrapText="1"/>
    </xf>
    <xf numFmtId="0" fontId="7" fillId="2" borderId="6" xfId="3" applyNumberFormat="1" applyFont="1" applyFill="1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0" xfId="3" applyAlignment="1">
      <alignment vertical="center"/>
    </xf>
    <xf numFmtId="0" fontId="8" fillId="0" borderId="6" xfId="3" applyNumberFormat="1" applyFont="1" applyFill="1" applyBorder="1" applyAlignment="1"/>
    <xf numFmtId="3" fontId="8" fillId="0" borderId="6" xfId="3" applyNumberFormat="1" applyFont="1" applyFill="1" applyBorder="1" applyAlignment="1"/>
    <xf numFmtId="3" fontId="1" fillId="0" borderId="6" xfId="3" applyNumberFormat="1" applyBorder="1"/>
    <xf numFmtId="14" fontId="1" fillId="0" borderId="6" xfId="3" applyNumberFormat="1" applyBorder="1"/>
    <xf numFmtId="167" fontId="0" fillId="0" borderId="6" xfId="4" applyNumberFormat="1" applyFont="1" applyBorder="1"/>
    <xf numFmtId="0" fontId="1" fillId="0" borderId="6" xfId="3" applyBorder="1"/>
    <xf numFmtId="0" fontId="9" fillId="0" borderId="0" xfId="5"/>
    <xf numFmtId="0" fontId="5" fillId="4" borderId="7" xfId="3" applyFont="1" applyFill="1" applyBorder="1" applyAlignment="1">
      <alignment horizontal="center"/>
    </xf>
    <xf numFmtId="0" fontId="5" fillId="4" borderId="0" xfId="3" applyFont="1" applyFill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0" xfId="3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6">
    <cellStyle name="Köprü" xfId="5" builtinId="8"/>
    <cellStyle name="Normal" xfId="0" builtinId="0"/>
    <cellStyle name="Normal 2" xfId="3"/>
    <cellStyle name="ParaBirimi" xfId="1" builtinId="4"/>
    <cellStyle name="ParaBirimi 2" xf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14</xdr:col>
      <xdr:colOff>171450</xdr:colOff>
      <xdr:row>9</xdr:row>
      <xdr:rowOff>85725</xdr:rowOff>
    </xdr:to>
    <xdr:sp macro="" textlink="">
      <xdr:nvSpPr>
        <xdr:cNvPr id="2" name="Metin kutusu 1"/>
        <xdr:cNvSpPr txBox="1"/>
      </xdr:nvSpPr>
      <xdr:spPr>
        <a:xfrm>
          <a:off x="9286875" y="990600"/>
          <a:ext cx="2609850" cy="8858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ORTALAMAYI</a:t>
          </a:r>
          <a:r>
            <a:rPr lang="tr-TR" sz="1100" baseline="0"/>
            <a:t> HESAPLAYINIZ SINAVA GİRMEYENLERE MAZERET SINAVI YAZDIRINIZ en yüksek ortalamayı koşullu biçimleme ile biçimleyiniz..</a:t>
          </a:r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57150</xdr:rowOff>
    </xdr:from>
    <xdr:to>
      <xdr:col>16</xdr:col>
      <xdr:colOff>85725</xdr:colOff>
      <xdr:row>10</xdr:row>
      <xdr:rowOff>38100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524750" y="1524000"/>
          <a:ext cx="5505450" cy="5524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/>
            <a:t>ÜRÜNLERE</a:t>
          </a:r>
          <a:r>
            <a:rPr lang="tr-TR" sz="1100" b="1" baseline="0"/>
            <a:t> </a:t>
          </a:r>
          <a:r>
            <a:rPr lang="tr-TR" sz="1100" b="1"/>
            <a:t> GÖRE ADET , FİYAT , TUTAR ALTTOPLAMLARINI</a:t>
          </a:r>
          <a:r>
            <a:rPr lang="tr-TR" sz="1100" b="1" baseline="0"/>
            <a:t> ALINIZ</a:t>
          </a:r>
          <a:endParaRPr lang="tr-TR" sz="1100" b="1"/>
        </a:p>
      </xdr:txBody>
    </xdr:sp>
    <xdr:clientData/>
  </xdr:twoCellAnchor>
  <xdr:twoCellAnchor>
    <xdr:from>
      <xdr:col>9</xdr:col>
      <xdr:colOff>371475</xdr:colOff>
      <xdr:row>10</xdr:row>
      <xdr:rowOff>152400</xdr:rowOff>
    </xdr:from>
    <xdr:to>
      <xdr:col>16</xdr:col>
      <xdr:colOff>66675</xdr:colOff>
      <xdr:row>13</xdr:row>
      <xdr:rowOff>133350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505700" y="2190750"/>
          <a:ext cx="5505450" cy="5524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/>
            <a:t>İSTANBUL'DA</a:t>
          </a:r>
          <a:r>
            <a:rPr lang="tr-TR" sz="1100" b="1" baseline="0"/>
            <a:t> SATILAN TELEVİZYONLARIN SATIRLARINI RENKLENDİRİNİZ (KOŞULLU BİÇİMLENDİRME)</a:t>
          </a:r>
          <a:endParaRPr lang="tr-T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790575</xdr:colOff>
      <xdr:row>0</xdr:row>
      <xdr:rowOff>152400</xdr:rowOff>
    </xdr:from>
    <xdr:to>
      <xdr:col>9</xdr:col>
      <xdr:colOff>581025</xdr:colOff>
      <xdr:row>6</xdr:row>
      <xdr:rowOff>133350</xdr:rowOff>
    </xdr:to>
    <xdr:sp macro="" textlink="">
      <xdr:nvSpPr>
        <xdr:cNvPr id="2" name="Metin kutusu 1"/>
        <xdr:cNvSpPr txBox="1"/>
      </xdr:nvSpPr>
      <xdr:spPr>
        <a:xfrm>
          <a:off x="8953500" y="152400"/>
          <a:ext cx="2609850" cy="11715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KULLANICI ADI İÇİN KÜÇÜK HARFLE ADISOYADI BİRLEŞİK</a:t>
          </a:r>
          <a:r>
            <a:rPr lang="tr-TR" sz="1100" baseline="0"/>
            <a:t>  OLARAK GETİRİLİP DOĞDUĞU GÜN İLE BİRLEŞTİRİLECEK </a:t>
          </a:r>
        </a:p>
        <a:p>
          <a:r>
            <a:rPr lang="tr-TR" sz="1100" baseline="0"/>
            <a:t>ÖRNEK: başaktürkan22</a:t>
          </a:r>
          <a:endParaRPr lang="tr-TR" sz="1100"/>
        </a:p>
      </xdr:txBody>
    </xdr:sp>
    <xdr:clientData/>
  </xdr:twoCellAnchor>
  <xdr:twoCellAnchor>
    <xdr:from>
      <xdr:col>5</xdr:col>
      <xdr:colOff>762000</xdr:colOff>
      <xdr:row>7</xdr:row>
      <xdr:rowOff>9525</xdr:rowOff>
    </xdr:from>
    <xdr:to>
      <xdr:col>9</xdr:col>
      <xdr:colOff>552450</xdr:colOff>
      <xdr:row>12</xdr:row>
      <xdr:rowOff>180975</xdr:rowOff>
    </xdr:to>
    <xdr:sp macro="" textlink="">
      <xdr:nvSpPr>
        <xdr:cNvPr id="3" name="Metin kutusu 2"/>
        <xdr:cNvSpPr txBox="1"/>
      </xdr:nvSpPr>
      <xdr:spPr>
        <a:xfrm>
          <a:off x="8924925" y="1400175"/>
          <a:ext cx="2609850" cy="11715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/>
            <a:t>ŞİFRE İÇİN TCKİMLİK</a:t>
          </a:r>
          <a:r>
            <a:rPr lang="tr-TR" sz="1100" baseline="0"/>
            <a:t> NOLARININ SON 5 HANESİ VERİLECEK</a:t>
          </a:r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G2" sqref="G2:G23"/>
    </sheetView>
  </sheetViews>
  <sheetFormatPr defaultColWidth="9.109375" defaultRowHeight="14.4" x14ac:dyDescent="0.3"/>
  <cols>
    <col min="1" max="1" width="15" style="15" customWidth="1"/>
    <col min="2" max="2" width="22" style="15" bestFit="1" customWidth="1"/>
    <col min="3" max="3" width="13.88671875" style="15" customWidth="1"/>
    <col min="4" max="5" width="11.44140625" style="15" customWidth="1"/>
    <col min="6" max="6" width="12.6640625" style="15" customWidth="1"/>
    <col min="7" max="7" width="16.44140625" style="15" customWidth="1"/>
    <col min="8" max="8" width="18.109375" style="15" bestFit="1" customWidth="1"/>
    <col min="9" max="16384" width="9.109375" style="15"/>
  </cols>
  <sheetData>
    <row r="1" spans="1:13" x14ac:dyDescent="0.3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4" t="s">
        <v>14</v>
      </c>
      <c r="I1" s="15">
        <v>20</v>
      </c>
    </row>
    <row r="2" spans="1:13" ht="15.6" x14ac:dyDescent="0.3">
      <c r="A2" s="16" t="s">
        <v>15</v>
      </c>
      <c r="B2" s="18" t="s">
        <v>16</v>
      </c>
      <c r="C2" s="19">
        <v>89.58766547769001</v>
      </c>
      <c r="D2" s="19">
        <v>80</v>
      </c>
      <c r="E2" s="19">
        <v>74.823970591262906</v>
      </c>
      <c r="F2" s="19">
        <v>95.972389145041348</v>
      </c>
      <c r="G2" s="20"/>
      <c r="J2" s="21"/>
      <c r="K2" s="21"/>
      <c r="L2" s="21"/>
      <c r="M2" s="21"/>
    </row>
    <row r="3" spans="1:13" ht="15.6" x14ac:dyDescent="0.3">
      <c r="A3" s="22" t="s">
        <v>17</v>
      </c>
      <c r="B3" s="23" t="s">
        <v>18</v>
      </c>
      <c r="C3" s="24">
        <v>30.559707219833587</v>
      </c>
      <c r="D3" s="24">
        <v>81.226916852302622</v>
      </c>
      <c r="E3" s="24">
        <v>26.44593794647594</v>
      </c>
      <c r="F3" s="24">
        <v>84.17004488993264</v>
      </c>
      <c r="G3" s="20"/>
      <c r="J3" s="21"/>
      <c r="K3" s="21"/>
      <c r="L3" s="21"/>
      <c r="M3" s="21"/>
    </row>
    <row r="4" spans="1:13" ht="15.6" x14ac:dyDescent="0.3">
      <c r="A4" s="16" t="s">
        <v>19</v>
      </c>
      <c r="B4" s="18" t="s">
        <v>20</v>
      </c>
      <c r="C4" s="19">
        <v>30.013423669875085</v>
      </c>
      <c r="D4" s="19">
        <v>40.410677830858575</v>
      </c>
      <c r="E4" s="19">
        <v>88.771222691970905</v>
      </c>
      <c r="F4" s="19">
        <v>38.450469064673555</v>
      </c>
      <c r="G4" s="20"/>
      <c r="J4" s="21"/>
      <c r="K4" s="21"/>
      <c r="L4" s="21"/>
      <c r="M4" s="21"/>
    </row>
    <row r="5" spans="1:13" ht="15.6" x14ac:dyDescent="0.3">
      <c r="A5" s="22" t="s">
        <v>21</v>
      </c>
      <c r="B5" s="23" t="s">
        <v>22</v>
      </c>
      <c r="C5" s="24">
        <v>16.149955042197384</v>
      </c>
      <c r="D5" s="24">
        <v>19.314429416385124</v>
      </c>
      <c r="E5" s="24">
        <v>10.475338313820426</v>
      </c>
      <c r="F5" s="24">
        <v>92.339398099726182</v>
      </c>
      <c r="G5" s="20"/>
      <c r="J5" s="21"/>
      <c r="K5" s="21"/>
      <c r="L5" s="21"/>
      <c r="M5" s="21"/>
    </row>
    <row r="6" spans="1:13" ht="15.6" x14ac:dyDescent="0.3">
      <c r="A6" s="16" t="s">
        <v>23</v>
      </c>
      <c r="B6" s="18" t="s">
        <v>24</v>
      </c>
      <c r="C6" s="19">
        <v>27.97624779983736</v>
      </c>
      <c r="D6" s="19">
        <v>78.441821570158936</v>
      </c>
      <c r="E6" s="19">
        <v>60.629999751001471</v>
      </c>
      <c r="F6" s="19">
        <v>45.97030663924879</v>
      </c>
      <c r="G6" s="20"/>
      <c r="J6" s="21"/>
      <c r="K6" s="21"/>
      <c r="L6" s="21"/>
      <c r="M6" s="21"/>
    </row>
    <row r="7" spans="1:13" ht="15.6" x14ac:dyDescent="0.3">
      <c r="A7" s="22" t="s">
        <v>25</v>
      </c>
      <c r="B7" s="23" t="s">
        <v>26</v>
      </c>
      <c r="C7" s="24">
        <v>69.366109986871123</v>
      </c>
      <c r="D7" s="24">
        <v>90</v>
      </c>
      <c r="E7" s="24">
        <v>85</v>
      </c>
      <c r="F7" s="24">
        <v>49.670243379042923</v>
      </c>
      <c r="G7" s="20"/>
      <c r="J7" s="21"/>
      <c r="K7" s="21"/>
      <c r="L7" s="21"/>
      <c r="M7" s="21"/>
    </row>
    <row r="8" spans="1:13" ht="15.6" x14ac:dyDescent="0.3">
      <c r="A8" s="16" t="s">
        <v>27</v>
      </c>
      <c r="B8" s="18" t="s">
        <v>28</v>
      </c>
      <c r="C8" s="19">
        <v>69.96539458216003</v>
      </c>
      <c r="D8" s="19">
        <v>46.269860920609752</v>
      </c>
      <c r="E8" s="19">
        <v>56.443204688472768</v>
      </c>
      <c r="F8" s="19">
        <v>42.045115009173287</v>
      </c>
      <c r="G8" s="20"/>
      <c r="J8" s="21"/>
      <c r="K8" s="21"/>
      <c r="L8" s="21"/>
      <c r="M8" s="21"/>
    </row>
    <row r="9" spans="1:13" ht="15.6" x14ac:dyDescent="0.3">
      <c r="A9" s="22" t="s">
        <v>29</v>
      </c>
      <c r="B9" s="23" t="s">
        <v>30</v>
      </c>
      <c r="C9" s="24">
        <v>62.843195420412947</v>
      </c>
      <c r="D9" s="24">
        <v>65.156397342339105</v>
      </c>
      <c r="E9" s="24">
        <v>58.971330077544479</v>
      </c>
      <c r="F9" s="24">
        <v>70.056192401372101</v>
      </c>
      <c r="G9" s="20"/>
      <c r="J9" s="21"/>
      <c r="K9" s="21"/>
      <c r="L9" s="21"/>
      <c r="M9" s="21"/>
    </row>
    <row r="10" spans="1:13" ht="15.6" x14ac:dyDescent="0.3">
      <c r="A10" s="16" t="s">
        <v>31</v>
      </c>
      <c r="B10" s="18" t="s">
        <v>32</v>
      </c>
      <c r="C10" s="19">
        <v>100</v>
      </c>
      <c r="D10" s="19">
        <v>57.802210992701319</v>
      </c>
      <c r="E10" s="19">
        <v>60</v>
      </c>
      <c r="F10" s="19">
        <v>80</v>
      </c>
      <c r="G10" s="20"/>
      <c r="J10" s="21"/>
      <c r="K10" s="21"/>
      <c r="L10" s="21"/>
      <c r="M10" s="21"/>
    </row>
    <row r="11" spans="1:13" ht="15.6" x14ac:dyDescent="0.3">
      <c r="A11" s="22" t="s">
        <v>33</v>
      </c>
      <c r="B11" s="23" t="s">
        <v>34</v>
      </c>
      <c r="C11" s="24">
        <v>73.330749601031144</v>
      </c>
      <c r="D11" s="24">
        <v>56.356112614076558</v>
      </c>
      <c r="E11" s="24">
        <v>83.153030958053222</v>
      </c>
      <c r="F11" s="24">
        <v>14.945685014649545</v>
      </c>
      <c r="G11" s="20"/>
      <c r="J11" s="21"/>
      <c r="K11" s="21"/>
      <c r="L11" s="21"/>
      <c r="M11" s="21"/>
    </row>
    <row r="12" spans="1:13" ht="15.6" x14ac:dyDescent="0.3">
      <c r="A12" s="16" t="s">
        <v>35</v>
      </c>
      <c r="B12" s="18" t="s">
        <v>36</v>
      </c>
      <c r="C12" s="19">
        <v>47.285202004156623</v>
      </c>
      <c r="D12" s="19">
        <v>50.770634420188877</v>
      </c>
      <c r="E12" s="19" t="s">
        <v>37</v>
      </c>
      <c r="F12" s="19">
        <v>32.232038675688258</v>
      </c>
      <c r="G12" s="20"/>
      <c r="J12" s="21"/>
      <c r="K12" s="21"/>
      <c r="L12" s="21"/>
      <c r="M12" s="21"/>
    </row>
    <row r="13" spans="1:13" ht="15.6" x14ac:dyDescent="0.3">
      <c r="A13" s="22" t="s">
        <v>38</v>
      </c>
      <c r="B13" s="23" t="s">
        <v>39</v>
      </c>
      <c r="C13" s="24">
        <v>57.062907414509681</v>
      </c>
      <c r="D13" s="24">
        <v>21.262762996941685</v>
      </c>
      <c r="E13" s="24">
        <v>47.161586159013844</v>
      </c>
      <c r="F13" s="24">
        <v>53.541312115817554</v>
      </c>
      <c r="G13" s="20"/>
      <c r="J13" s="21"/>
      <c r="K13" s="21"/>
      <c r="L13" s="21"/>
      <c r="M13" s="21"/>
    </row>
    <row r="14" spans="1:13" ht="15.6" x14ac:dyDescent="0.3">
      <c r="A14" s="16" t="s">
        <v>40</v>
      </c>
      <c r="B14" s="18" t="s">
        <v>41</v>
      </c>
      <c r="C14" s="19">
        <v>94.635459620862477</v>
      </c>
      <c r="D14" s="19">
        <v>51.046872460290672</v>
      </c>
      <c r="E14" s="19">
        <v>86.862106044662198</v>
      </c>
      <c r="F14" s="19">
        <v>20.359129609810932</v>
      </c>
      <c r="G14" s="20"/>
      <c r="J14" s="21"/>
      <c r="K14" s="21"/>
      <c r="L14" s="21"/>
      <c r="M14" s="21"/>
    </row>
    <row r="15" spans="1:13" ht="15.6" x14ac:dyDescent="0.3">
      <c r="A15" s="22" t="s">
        <v>42</v>
      </c>
      <c r="B15" s="23" t="s">
        <v>43</v>
      </c>
      <c r="C15" s="24">
        <v>46.204016349930001</v>
      </c>
      <c r="D15" s="24">
        <v>19.721387168057227</v>
      </c>
      <c r="E15" s="24">
        <v>31.827365457305167</v>
      </c>
      <c r="F15" s="24">
        <v>23.548224550325379</v>
      </c>
      <c r="G15" s="20"/>
      <c r="J15" s="21"/>
      <c r="K15" s="21"/>
      <c r="L15" s="21"/>
      <c r="M15" s="21"/>
    </row>
    <row r="16" spans="1:13" ht="15.6" x14ac:dyDescent="0.3">
      <c r="A16" s="16" t="s">
        <v>44</v>
      </c>
      <c r="B16" s="18" t="s">
        <v>45</v>
      </c>
      <c r="C16" s="19">
        <v>12.763571193883461</v>
      </c>
      <c r="D16" s="19">
        <v>25.362692330297719</v>
      </c>
      <c r="E16" s="19">
        <v>79.38833344497678</v>
      </c>
      <c r="F16" s="19" t="s">
        <v>37</v>
      </c>
      <c r="G16" s="20"/>
      <c r="J16" s="21"/>
      <c r="K16" s="21"/>
      <c r="L16" s="21"/>
      <c r="M16" s="21"/>
    </row>
    <row r="17" spans="1:13" ht="15.6" x14ac:dyDescent="0.3">
      <c r="A17" s="22" t="s">
        <v>46</v>
      </c>
      <c r="B17" s="23" t="s">
        <v>47</v>
      </c>
      <c r="C17" s="24">
        <v>90</v>
      </c>
      <c r="D17" s="24">
        <v>95</v>
      </c>
      <c r="E17" s="24">
        <v>100</v>
      </c>
      <c r="F17" s="24">
        <v>100</v>
      </c>
      <c r="G17" s="20"/>
      <c r="J17" s="21"/>
      <c r="K17" s="21"/>
      <c r="L17" s="21"/>
      <c r="M17" s="21"/>
    </row>
    <row r="18" spans="1:13" ht="15.6" x14ac:dyDescent="0.3">
      <c r="A18" s="16" t="s">
        <v>48</v>
      </c>
      <c r="B18" s="18" t="s">
        <v>49</v>
      </c>
      <c r="C18" s="19">
        <v>49.757629709796092</v>
      </c>
      <c r="D18" s="19">
        <v>36.13298820737382</v>
      </c>
      <c r="E18" s="19">
        <v>71.195351023489721</v>
      </c>
      <c r="F18" s="19">
        <v>26.630661693283063</v>
      </c>
      <c r="G18" s="20"/>
      <c r="J18" s="21"/>
      <c r="K18" s="21"/>
      <c r="L18" s="21"/>
      <c r="M18" s="21"/>
    </row>
    <row r="19" spans="1:13" ht="15.6" x14ac:dyDescent="0.3">
      <c r="A19" s="22" t="s">
        <v>50</v>
      </c>
      <c r="B19" s="23" t="s">
        <v>51</v>
      </c>
      <c r="C19" s="24" t="s">
        <v>37</v>
      </c>
      <c r="D19" s="24">
        <v>74.453174283677214</v>
      </c>
      <c r="E19" s="24">
        <v>49.493148470662042</v>
      </c>
      <c r="F19" s="24">
        <v>64.904119839073786</v>
      </c>
      <c r="G19" s="20"/>
      <c r="J19" s="21"/>
      <c r="K19" s="21"/>
      <c r="L19" s="21"/>
      <c r="M19" s="21"/>
    </row>
    <row r="20" spans="1:13" ht="15.6" x14ac:dyDescent="0.3">
      <c r="A20" s="16" t="s">
        <v>52</v>
      </c>
      <c r="B20" s="18" t="s">
        <v>53</v>
      </c>
      <c r="C20" s="19">
        <v>78.180543513062716</v>
      </c>
      <c r="D20" s="19">
        <v>57.833890239054632</v>
      </c>
      <c r="E20" s="19">
        <v>83.862337400169054</v>
      </c>
      <c r="F20" s="19">
        <v>16.135066593532564</v>
      </c>
      <c r="G20" s="20"/>
      <c r="J20" s="21"/>
      <c r="K20" s="21"/>
      <c r="L20" s="21"/>
      <c r="M20" s="21"/>
    </row>
    <row r="21" spans="1:13" ht="15.6" x14ac:dyDescent="0.3">
      <c r="A21" s="22" t="s">
        <v>54</v>
      </c>
      <c r="B21" s="23" t="s">
        <v>55</v>
      </c>
      <c r="C21" s="24">
        <v>80.294139842164128</v>
      </c>
      <c r="D21" s="24">
        <v>88.63947104400529</v>
      </c>
      <c r="E21" s="24">
        <v>60.71642903387373</v>
      </c>
      <c r="F21" s="24">
        <v>77.074657488282455</v>
      </c>
      <c r="G21" s="20"/>
      <c r="J21" s="21"/>
      <c r="K21" s="21"/>
      <c r="L21" s="21"/>
      <c r="M21" s="21"/>
    </row>
    <row r="22" spans="1:13" ht="15.6" x14ac:dyDescent="0.3">
      <c r="A22" s="16" t="s">
        <v>56</v>
      </c>
      <c r="B22" s="18" t="s">
        <v>57</v>
      </c>
      <c r="C22" s="19">
        <v>90.782644225209012</v>
      </c>
      <c r="D22" s="19">
        <v>90</v>
      </c>
      <c r="E22" s="19">
        <v>85</v>
      </c>
      <c r="F22" s="19">
        <v>90</v>
      </c>
      <c r="G22" s="20"/>
      <c r="J22" s="21"/>
      <c r="K22" s="21"/>
      <c r="L22" s="21"/>
      <c r="M22" s="21"/>
    </row>
    <row r="23" spans="1:13" ht="15.6" x14ac:dyDescent="0.3">
      <c r="A23" s="25" t="s">
        <v>58</v>
      </c>
      <c r="B23" s="26" t="s">
        <v>59</v>
      </c>
      <c r="C23" s="27" t="s">
        <v>37</v>
      </c>
      <c r="D23" s="27">
        <v>76.74042349387274</v>
      </c>
      <c r="E23" s="27">
        <v>10.127577911283471</v>
      </c>
      <c r="F23" s="27">
        <v>60.916559188648556</v>
      </c>
      <c r="G23" s="20"/>
      <c r="J23" s="21"/>
      <c r="K23" s="21"/>
      <c r="L23" s="21"/>
      <c r="M23" s="21"/>
    </row>
    <row r="25" spans="1:13" ht="15.6" x14ac:dyDescent="0.3">
      <c r="A25" s="45" t="s">
        <v>60</v>
      </c>
      <c r="B25" s="46"/>
      <c r="C25" s="46"/>
      <c r="D25" s="46"/>
      <c r="E25" s="46"/>
      <c r="F25" s="46"/>
    </row>
    <row r="26" spans="1:13" ht="15.6" x14ac:dyDescent="0.3">
      <c r="A26" s="47"/>
      <c r="B26" s="48"/>
      <c r="C26" s="48"/>
      <c r="D26" s="48"/>
      <c r="E26" s="48"/>
      <c r="F26" s="48"/>
    </row>
  </sheetData>
  <mergeCells count="2">
    <mergeCell ref="A25:F25"/>
    <mergeCell ref="A26:F2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8"/>
  <sheetViews>
    <sheetView workbookViewId="0">
      <selection activeCell="K15" sqref="K15"/>
    </sheetView>
  </sheetViews>
  <sheetFormatPr defaultColWidth="9.109375" defaultRowHeight="14.4" x14ac:dyDescent="0.3"/>
  <cols>
    <col min="1" max="1" width="14" style="15" customWidth="1"/>
    <col min="2" max="2" width="11" style="15" customWidth="1"/>
    <col min="3" max="3" width="12.88671875" style="15" customWidth="1"/>
    <col min="4" max="4" width="11.109375" style="15" bestFit="1" customWidth="1"/>
    <col min="5" max="5" width="7.6640625" style="15" customWidth="1"/>
    <col min="6" max="6" width="11" style="15" customWidth="1"/>
    <col min="7" max="7" width="9.33203125" style="15" customWidth="1"/>
    <col min="8" max="8" width="13.44140625" style="15" customWidth="1"/>
    <col min="9" max="9" width="16.5546875" style="15" customWidth="1"/>
    <col min="10" max="10" width="16.88671875" style="15" customWidth="1"/>
    <col min="11" max="11" width="14.33203125" style="15" customWidth="1"/>
    <col min="12" max="12" width="12.5546875" style="15" customWidth="1"/>
    <col min="13" max="13" width="16" style="15" customWidth="1"/>
    <col min="14" max="16384" width="9.109375" style="15"/>
  </cols>
  <sheetData>
    <row r="1" spans="1:13" s="37" customFormat="1" ht="26.4" x14ac:dyDescent="0.3">
      <c r="A1" s="33" t="s">
        <v>64</v>
      </c>
      <c r="B1" s="33" t="s">
        <v>65</v>
      </c>
      <c r="C1" s="33" t="s">
        <v>66</v>
      </c>
      <c r="D1" s="33" t="s">
        <v>67</v>
      </c>
      <c r="E1" s="33" t="s">
        <v>68</v>
      </c>
      <c r="F1" s="33" t="s">
        <v>69</v>
      </c>
      <c r="G1" s="33" t="s">
        <v>70</v>
      </c>
      <c r="H1" s="34" t="s">
        <v>71</v>
      </c>
      <c r="I1" s="35" t="s">
        <v>72</v>
      </c>
      <c r="J1" s="36">
        <v>15</v>
      </c>
      <c r="K1" s="33" t="s">
        <v>64</v>
      </c>
      <c r="L1" s="33" t="s">
        <v>66</v>
      </c>
      <c r="M1" s="35" t="s">
        <v>73</v>
      </c>
    </row>
    <row r="2" spans="1:13" x14ac:dyDescent="0.3">
      <c r="A2" s="38" t="s">
        <v>74</v>
      </c>
      <c r="B2" s="38" t="s">
        <v>75</v>
      </c>
      <c r="C2" s="38" t="s">
        <v>76</v>
      </c>
      <c r="D2" s="38" t="s">
        <v>77</v>
      </c>
      <c r="E2" s="38">
        <v>15</v>
      </c>
      <c r="F2" s="39">
        <v>350</v>
      </c>
      <c r="G2" s="40">
        <f t="shared" ref="G2:G65" si="0">E2*F2</f>
        <v>5250</v>
      </c>
      <c r="H2" s="41">
        <v>43357</v>
      </c>
      <c r="I2" s="42"/>
      <c r="K2" s="43" t="s">
        <v>78</v>
      </c>
      <c r="L2" s="43" t="s">
        <v>79</v>
      </c>
      <c r="M2" s="43"/>
    </row>
    <row r="3" spans="1:13" x14ac:dyDescent="0.3">
      <c r="A3" s="38" t="s">
        <v>74</v>
      </c>
      <c r="B3" s="38" t="s">
        <v>75</v>
      </c>
      <c r="C3" s="38" t="s">
        <v>80</v>
      </c>
      <c r="D3" s="38" t="s">
        <v>77</v>
      </c>
      <c r="E3" s="38">
        <v>10</v>
      </c>
      <c r="F3" s="39">
        <v>400</v>
      </c>
      <c r="G3" s="40">
        <f t="shared" si="0"/>
        <v>4000</v>
      </c>
      <c r="H3" s="41">
        <v>43358</v>
      </c>
      <c r="I3" s="42"/>
    </row>
    <row r="4" spans="1:13" x14ac:dyDescent="0.3">
      <c r="A4" s="38" t="s">
        <v>74</v>
      </c>
      <c r="B4" s="38" t="s">
        <v>75</v>
      </c>
      <c r="C4" s="38" t="s">
        <v>79</v>
      </c>
      <c r="D4" s="38" t="s">
        <v>81</v>
      </c>
      <c r="E4" s="38">
        <v>75</v>
      </c>
      <c r="F4" s="39">
        <v>300</v>
      </c>
      <c r="G4" s="40">
        <f t="shared" si="0"/>
        <v>22500</v>
      </c>
      <c r="H4" s="41">
        <v>43359</v>
      </c>
      <c r="I4" s="42"/>
    </row>
    <row r="5" spans="1:13" x14ac:dyDescent="0.3">
      <c r="A5" s="38" t="s">
        <v>74</v>
      </c>
      <c r="B5" s="38" t="s">
        <v>75</v>
      </c>
      <c r="C5" s="38" t="s">
        <v>82</v>
      </c>
      <c r="D5" s="38" t="s">
        <v>83</v>
      </c>
      <c r="E5" s="38">
        <v>27</v>
      </c>
      <c r="F5" s="39">
        <v>300</v>
      </c>
      <c r="G5" s="40">
        <f t="shared" si="0"/>
        <v>8100</v>
      </c>
      <c r="H5" s="41">
        <v>43360</v>
      </c>
      <c r="I5" s="42"/>
    </row>
    <row r="6" spans="1:13" x14ac:dyDescent="0.3">
      <c r="A6" s="38" t="s">
        <v>74</v>
      </c>
      <c r="B6" s="38" t="s">
        <v>84</v>
      </c>
      <c r="C6" s="38" t="s">
        <v>85</v>
      </c>
      <c r="D6" s="38" t="s">
        <v>86</v>
      </c>
      <c r="E6" s="38">
        <v>8</v>
      </c>
      <c r="F6" s="39">
        <v>500</v>
      </c>
      <c r="G6" s="40">
        <f t="shared" si="0"/>
        <v>4000</v>
      </c>
      <c r="H6" s="41">
        <v>43361</v>
      </c>
      <c r="I6" s="42"/>
    </row>
    <row r="7" spans="1:13" x14ac:dyDescent="0.3">
      <c r="A7" s="38" t="s">
        <v>74</v>
      </c>
      <c r="B7" s="38" t="s">
        <v>84</v>
      </c>
      <c r="C7" s="38" t="s">
        <v>85</v>
      </c>
      <c r="D7" s="38" t="s">
        <v>86</v>
      </c>
      <c r="E7" s="38">
        <v>21</v>
      </c>
      <c r="F7" s="39">
        <v>350</v>
      </c>
      <c r="G7" s="40">
        <f t="shared" si="0"/>
        <v>7350</v>
      </c>
      <c r="H7" s="41">
        <v>43362</v>
      </c>
      <c r="I7" s="42"/>
    </row>
    <row r="8" spans="1:13" x14ac:dyDescent="0.3">
      <c r="A8" s="38" t="s">
        <v>74</v>
      </c>
      <c r="B8" s="38" t="s">
        <v>75</v>
      </c>
      <c r="C8" s="38" t="s">
        <v>79</v>
      </c>
      <c r="D8" s="38" t="s">
        <v>81</v>
      </c>
      <c r="E8" s="38">
        <v>65</v>
      </c>
      <c r="F8" s="39">
        <v>300</v>
      </c>
      <c r="G8" s="40">
        <f t="shared" si="0"/>
        <v>19500</v>
      </c>
      <c r="H8" s="41">
        <v>43363</v>
      </c>
      <c r="I8" s="42"/>
    </row>
    <row r="9" spans="1:13" x14ac:dyDescent="0.3">
      <c r="A9" s="38" t="s">
        <v>74</v>
      </c>
      <c r="B9" s="38" t="s">
        <v>84</v>
      </c>
      <c r="C9" s="38" t="s">
        <v>87</v>
      </c>
      <c r="D9" s="38" t="s">
        <v>86</v>
      </c>
      <c r="E9" s="38">
        <v>3</v>
      </c>
      <c r="F9" s="39">
        <v>350</v>
      </c>
      <c r="G9" s="40">
        <f t="shared" si="0"/>
        <v>1050</v>
      </c>
      <c r="H9" s="41">
        <v>43423</v>
      </c>
      <c r="I9" s="42"/>
    </row>
    <row r="10" spans="1:13" x14ac:dyDescent="0.3">
      <c r="A10" s="38" t="s">
        <v>74</v>
      </c>
      <c r="B10" s="38" t="s">
        <v>75</v>
      </c>
      <c r="C10" s="38" t="s">
        <v>82</v>
      </c>
      <c r="D10" s="38" t="s">
        <v>83</v>
      </c>
      <c r="E10" s="38">
        <v>13</v>
      </c>
      <c r="F10" s="39">
        <v>300</v>
      </c>
      <c r="G10" s="40">
        <f t="shared" si="0"/>
        <v>3900</v>
      </c>
      <c r="H10" s="41">
        <v>43134</v>
      </c>
      <c r="I10" s="42"/>
    </row>
    <row r="11" spans="1:13" x14ac:dyDescent="0.3">
      <c r="A11" s="38" t="s">
        <v>74</v>
      </c>
      <c r="B11" s="38" t="s">
        <v>84</v>
      </c>
      <c r="C11" s="38" t="s">
        <v>76</v>
      </c>
      <c r="D11" s="38" t="s">
        <v>77</v>
      </c>
      <c r="E11" s="38">
        <v>10</v>
      </c>
      <c r="F11" s="39">
        <v>350</v>
      </c>
      <c r="G11" s="40">
        <f t="shared" si="0"/>
        <v>3500</v>
      </c>
      <c r="H11" s="41">
        <v>43164</v>
      </c>
      <c r="I11" s="42"/>
    </row>
    <row r="12" spans="1:13" x14ac:dyDescent="0.3">
      <c r="A12" s="38" t="s">
        <v>74</v>
      </c>
      <c r="B12" s="38" t="s">
        <v>75</v>
      </c>
      <c r="C12" s="38" t="s">
        <v>79</v>
      </c>
      <c r="D12" s="38" t="s">
        <v>81</v>
      </c>
      <c r="E12" s="38">
        <v>20</v>
      </c>
      <c r="F12" s="39">
        <v>300</v>
      </c>
      <c r="G12" s="40">
        <f t="shared" si="0"/>
        <v>6000</v>
      </c>
      <c r="H12" s="41">
        <v>43195</v>
      </c>
      <c r="I12" s="42"/>
    </row>
    <row r="13" spans="1:13" x14ac:dyDescent="0.3">
      <c r="A13" s="38" t="s">
        <v>74</v>
      </c>
      <c r="B13" s="38" t="s">
        <v>75</v>
      </c>
      <c r="C13" s="38" t="s">
        <v>79</v>
      </c>
      <c r="D13" s="38" t="s">
        <v>81</v>
      </c>
      <c r="E13" s="38">
        <v>32</v>
      </c>
      <c r="F13" s="39">
        <v>300</v>
      </c>
      <c r="G13" s="40">
        <f t="shared" si="0"/>
        <v>9600</v>
      </c>
      <c r="H13" s="41">
        <v>43326</v>
      </c>
      <c r="I13" s="42"/>
    </row>
    <row r="14" spans="1:13" x14ac:dyDescent="0.3">
      <c r="A14" s="38" t="s">
        <v>74</v>
      </c>
      <c r="B14" s="38" t="s">
        <v>84</v>
      </c>
      <c r="C14" s="38" t="s">
        <v>80</v>
      </c>
      <c r="D14" s="38" t="s">
        <v>77</v>
      </c>
      <c r="E14" s="38">
        <v>5</v>
      </c>
      <c r="F14" s="39">
        <v>400</v>
      </c>
      <c r="G14" s="40">
        <f t="shared" si="0"/>
        <v>2000</v>
      </c>
      <c r="H14" s="41">
        <v>43345</v>
      </c>
      <c r="I14" s="42"/>
    </row>
    <row r="15" spans="1:13" x14ac:dyDescent="0.3">
      <c r="A15" s="38" t="s">
        <v>74</v>
      </c>
      <c r="B15" s="38" t="s">
        <v>84</v>
      </c>
      <c r="C15" s="38" t="s">
        <v>87</v>
      </c>
      <c r="D15" s="38" t="s">
        <v>86</v>
      </c>
      <c r="E15" s="38">
        <v>18</v>
      </c>
      <c r="F15" s="39">
        <v>500</v>
      </c>
      <c r="G15" s="40">
        <f t="shared" si="0"/>
        <v>9000</v>
      </c>
      <c r="H15" s="41">
        <v>43458</v>
      </c>
      <c r="I15" s="42"/>
    </row>
    <row r="16" spans="1:13" x14ac:dyDescent="0.3">
      <c r="A16" s="38" t="s">
        <v>74</v>
      </c>
      <c r="B16" s="38" t="s">
        <v>75</v>
      </c>
      <c r="C16" s="38" t="s">
        <v>76</v>
      </c>
      <c r="D16" s="38" t="s">
        <v>77</v>
      </c>
      <c r="E16" s="38">
        <v>15</v>
      </c>
      <c r="F16" s="39">
        <v>350</v>
      </c>
      <c r="G16" s="40">
        <f t="shared" si="0"/>
        <v>5250</v>
      </c>
      <c r="H16" s="41">
        <v>43165</v>
      </c>
      <c r="I16" s="42"/>
    </row>
    <row r="17" spans="1:9" x14ac:dyDescent="0.3">
      <c r="A17" s="38" t="s">
        <v>74</v>
      </c>
      <c r="B17" s="38" t="s">
        <v>84</v>
      </c>
      <c r="C17" s="38" t="s">
        <v>80</v>
      </c>
      <c r="D17" s="38" t="s">
        <v>77</v>
      </c>
      <c r="E17" s="38">
        <v>24</v>
      </c>
      <c r="F17" s="39">
        <v>400</v>
      </c>
      <c r="G17" s="40">
        <f t="shared" si="0"/>
        <v>9600</v>
      </c>
      <c r="H17" s="41">
        <v>43166</v>
      </c>
      <c r="I17" s="42"/>
    </row>
    <row r="18" spans="1:9" x14ac:dyDescent="0.3">
      <c r="A18" s="38" t="s">
        <v>74</v>
      </c>
      <c r="B18" s="38" t="s">
        <v>75</v>
      </c>
      <c r="C18" s="38" t="s">
        <v>79</v>
      </c>
      <c r="D18" s="38" t="s">
        <v>81</v>
      </c>
      <c r="E18" s="38">
        <v>25</v>
      </c>
      <c r="F18" s="39">
        <v>300</v>
      </c>
      <c r="G18" s="40">
        <f t="shared" si="0"/>
        <v>7500</v>
      </c>
      <c r="H18" s="41">
        <v>43167</v>
      </c>
      <c r="I18" s="42"/>
    </row>
    <row r="19" spans="1:9" x14ac:dyDescent="0.3">
      <c r="A19" s="38" t="s">
        <v>74</v>
      </c>
      <c r="B19" s="38" t="s">
        <v>75</v>
      </c>
      <c r="C19" s="38" t="s">
        <v>82</v>
      </c>
      <c r="D19" s="38" t="s">
        <v>83</v>
      </c>
      <c r="E19" s="38">
        <v>12</v>
      </c>
      <c r="F19" s="39">
        <v>300</v>
      </c>
      <c r="G19" s="40">
        <f t="shared" si="0"/>
        <v>3600</v>
      </c>
      <c r="H19" s="41">
        <v>43168</v>
      </c>
      <c r="I19" s="42"/>
    </row>
    <row r="20" spans="1:9" x14ac:dyDescent="0.3">
      <c r="A20" s="38" t="s">
        <v>74</v>
      </c>
      <c r="B20" s="38" t="s">
        <v>84</v>
      </c>
      <c r="C20" s="38" t="s">
        <v>87</v>
      </c>
      <c r="D20" s="38" t="s">
        <v>86</v>
      </c>
      <c r="E20" s="38">
        <v>43</v>
      </c>
      <c r="F20" s="39">
        <v>500</v>
      </c>
      <c r="G20" s="40">
        <f t="shared" si="0"/>
        <v>21500</v>
      </c>
      <c r="H20" s="41">
        <v>43169</v>
      </c>
      <c r="I20" s="42"/>
    </row>
    <row r="21" spans="1:9" x14ac:dyDescent="0.3">
      <c r="A21" s="38" t="s">
        <v>74</v>
      </c>
      <c r="B21" s="38" t="s">
        <v>84</v>
      </c>
      <c r="C21" s="38" t="s">
        <v>87</v>
      </c>
      <c r="D21" s="38" t="s">
        <v>86</v>
      </c>
      <c r="E21" s="38">
        <v>8</v>
      </c>
      <c r="F21" s="39">
        <v>350</v>
      </c>
      <c r="G21" s="40">
        <f t="shared" si="0"/>
        <v>2800</v>
      </c>
      <c r="H21" s="41">
        <v>43170</v>
      </c>
      <c r="I21" s="42"/>
    </row>
    <row r="22" spans="1:9" x14ac:dyDescent="0.3">
      <c r="A22" s="38" t="s">
        <v>74</v>
      </c>
      <c r="B22" s="38" t="s">
        <v>75</v>
      </c>
      <c r="C22" s="38" t="s">
        <v>79</v>
      </c>
      <c r="D22" s="38" t="s">
        <v>81</v>
      </c>
      <c r="E22" s="38">
        <v>37</v>
      </c>
      <c r="F22" s="39">
        <v>300</v>
      </c>
      <c r="G22" s="40">
        <f t="shared" si="0"/>
        <v>11100</v>
      </c>
      <c r="H22" s="41">
        <v>43171</v>
      </c>
      <c r="I22" s="42"/>
    </row>
    <row r="23" spans="1:9" x14ac:dyDescent="0.3">
      <c r="A23" s="38" t="s">
        <v>88</v>
      </c>
      <c r="B23" s="38" t="s">
        <v>89</v>
      </c>
      <c r="C23" s="38" t="s">
        <v>76</v>
      </c>
      <c r="D23" s="38" t="s">
        <v>77</v>
      </c>
      <c r="E23" s="38">
        <v>105</v>
      </c>
      <c r="F23" s="39">
        <v>100</v>
      </c>
      <c r="G23" s="40">
        <f t="shared" si="0"/>
        <v>10500</v>
      </c>
      <c r="H23" s="41">
        <v>43310</v>
      </c>
      <c r="I23" s="42"/>
    </row>
    <row r="24" spans="1:9" x14ac:dyDescent="0.3">
      <c r="A24" s="38" t="s">
        <v>88</v>
      </c>
      <c r="B24" s="38" t="s">
        <v>75</v>
      </c>
      <c r="C24" s="38" t="s">
        <v>90</v>
      </c>
      <c r="D24" s="38" t="s">
        <v>81</v>
      </c>
      <c r="E24" s="38">
        <v>55</v>
      </c>
      <c r="F24" s="39">
        <v>150</v>
      </c>
      <c r="G24" s="40">
        <f t="shared" si="0"/>
        <v>8250</v>
      </c>
      <c r="H24" s="41">
        <v>43311</v>
      </c>
      <c r="I24" s="42"/>
    </row>
    <row r="25" spans="1:9" x14ac:dyDescent="0.3">
      <c r="A25" s="38" t="s">
        <v>88</v>
      </c>
      <c r="B25" s="38" t="s">
        <v>91</v>
      </c>
      <c r="C25" s="38" t="s">
        <v>90</v>
      </c>
      <c r="D25" s="38" t="s">
        <v>81</v>
      </c>
      <c r="E25" s="38">
        <v>105</v>
      </c>
      <c r="F25" s="39">
        <v>250</v>
      </c>
      <c r="G25" s="40">
        <f t="shared" si="0"/>
        <v>26250</v>
      </c>
      <c r="H25" s="41">
        <v>43312</v>
      </c>
      <c r="I25" s="42"/>
    </row>
    <row r="26" spans="1:9" x14ac:dyDescent="0.3">
      <c r="A26" s="38" t="s">
        <v>88</v>
      </c>
      <c r="B26" s="38" t="s">
        <v>75</v>
      </c>
      <c r="C26" s="38" t="s">
        <v>92</v>
      </c>
      <c r="D26" s="38" t="s">
        <v>93</v>
      </c>
      <c r="E26" s="38">
        <v>50</v>
      </c>
      <c r="F26" s="39">
        <v>85</v>
      </c>
      <c r="G26" s="40">
        <f t="shared" si="0"/>
        <v>4250</v>
      </c>
      <c r="H26" s="41">
        <v>43313</v>
      </c>
      <c r="I26" s="42"/>
    </row>
    <row r="27" spans="1:9" x14ac:dyDescent="0.3">
      <c r="A27" s="38" t="s">
        <v>88</v>
      </c>
      <c r="B27" s="38" t="s">
        <v>94</v>
      </c>
      <c r="C27" s="38" t="s">
        <v>79</v>
      </c>
      <c r="D27" s="38" t="s">
        <v>81</v>
      </c>
      <c r="E27" s="38">
        <v>25</v>
      </c>
      <c r="F27" s="39">
        <v>150</v>
      </c>
      <c r="G27" s="40">
        <f t="shared" si="0"/>
        <v>3750</v>
      </c>
      <c r="H27" s="41">
        <v>43314</v>
      </c>
      <c r="I27" s="42"/>
    </row>
    <row r="28" spans="1:9" x14ac:dyDescent="0.3">
      <c r="A28" s="38" t="s">
        <v>88</v>
      </c>
      <c r="B28" s="38" t="s">
        <v>94</v>
      </c>
      <c r="C28" s="38" t="s">
        <v>79</v>
      </c>
      <c r="D28" s="38" t="s">
        <v>81</v>
      </c>
      <c r="E28" s="38">
        <v>17</v>
      </c>
      <c r="F28" s="39">
        <v>250</v>
      </c>
      <c r="G28" s="40">
        <f t="shared" si="0"/>
        <v>4250</v>
      </c>
      <c r="H28" s="41">
        <v>43315</v>
      </c>
      <c r="I28" s="42"/>
    </row>
    <row r="29" spans="1:9" x14ac:dyDescent="0.3">
      <c r="A29" s="38" t="s">
        <v>88</v>
      </c>
      <c r="B29" s="38" t="s">
        <v>89</v>
      </c>
      <c r="C29" s="38" t="s">
        <v>95</v>
      </c>
      <c r="D29" s="38" t="s">
        <v>83</v>
      </c>
      <c r="E29" s="38">
        <v>55</v>
      </c>
      <c r="F29" s="39">
        <v>200</v>
      </c>
      <c r="G29" s="40">
        <f t="shared" si="0"/>
        <v>11000</v>
      </c>
      <c r="H29" s="41">
        <v>43316</v>
      </c>
      <c r="I29" s="42"/>
    </row>
    <row r="30" spans="1:9" x14ac:dyDescent="0.3">
      <c r="A30" s="38" t="s">
        <v>88</v>
      </c>
      <c r="B30" s="38" t="s">
        <v>96</v>
      </c>
      <c r="C30" s="38" t="s">
        <v>82</v>
      </c>
      <c r="D30" s="38" t="s">
        <v>83</v>
      </c>
      <c r="E30" s="38">
        <v>30</v>
      </c>
      <c r="F30" s="39">
        <v>350</v>
      </c>
      <c r="G30" s="40">
        <f t="shared" si="0"/>
        <v>10500</v>
      </c>
      <c r="H30" s="41">
        <v>43317</v>
      </c>
      <c r="I30" s="42"/>
    </row>
    <row r="31" spans="1:9" x14ac:dyDescent="0.3">
      <c r="A31" s="38" t="s">
        <v>88</v>
      </c>
      <c r="B31" s="38" t="s">
        <v>96</v>
      </c>
      <c r="C31" s="38" t="s">
        <v>87</v>
      </c>
      <c r="D31" s="38" t="s">
        <v>86</v>
      </c>
      <c r="E31" s="38">
        <v>28</v>
      </c>
      <c r="F31" s="39">
        <v>100</v>
      </c>
      <c r="G31" s="40">
        <f t="shared" si="0"/>
        <v>2800</v>
      </c>
      <c r="H31" s="41">
        <v>43320</v>
      </c>
      <c r="I31" s="42"/>
    </row>
    <row r="32" spans="1:9" x14ac:dyDescent="0.3">
      <c r="A32" s="38" t="s">
        <v>88</v>
      </c>
      <c r="B32" s="38" t="s">
        <v>89</v>
      </c>
      <c r="C32" s="38" t="s">
        <v>90</v>
      </c>
      <c r="D32" s="38" t="s">
        <v>81</v>
      </c>
      <c r="E32" s="38">
        <v>100</v>
      </c>
      <c r="F32" s="39">
        <v>250</v>
      </c>
      <c r="G32" s="40">
        <f t="shared" si="0"/>
        <v>25000</v>
      </c>
      <c r="H32" s="41">
        <v>43429</v>
      </c>
      <c r="I32" s="42"/>
    </row>
    <row r="33" spans="1:9" x14ac:dyDescent="0.3">
      <c r="A33" s="38" t="s">
        <v>88</v>
      </c>
      <c r="B33" s="38" t="s">
        <v>89</v>
      </c>
      <c r="C33" s="38" t="s">
        <v>76</v>
      </c>
      <c r="D33" s="38" t="s">
        <v>77</v>
      </c>
      <c r="E33" s="38">
        <v>100</v>
      </c>
      <c r="F33" s="39">
        <v>100</v>
      </c>
      <c r="G33" s="40">
        <f t="shared" si="0"/>
        <v>10000</v>
      </c>
      <c r="H33" s="41">
        <v>43451</v>
      </c>
      <c r="I33" s="42"/>
    </row>
    <row r="34" spans="1:9" x14ac:dyDescent="0.3">
      <c r="A34" s="38" t="s">
        <v>88</v>
      </c>
      <c r="B34" s="38" t="s">
        <v>96</v>
      </c>
      <c r="C34" s="38" t="s">
        <v>82</v>
      </c>
      <c r="D34" s="38" t="s">
        <v>83</v>
      </c>
      <c r="E34" s="38">
        <v>30</v>
      </c>
      <c r="F34" s="39">
        <v>350</v>
      </c>
      <c r="G34" s="40">
        <f t="shared" si="0"/>
        <v>10500</v>
      </c>
      <c r="H34" s="41">
        <v>43114</v>
      </c>
      <c r="I34" s="42"/>
    </row>
    <row r="35" spans="1:9" x14ac:dyDescent="0.3">
      <c r="A35" s="38" t="s">
        <v>88</v>
      </c>
      <c r="B35" s="38" t="s">
        <v>96</v>
      </c>
      <c r="C35" s="38" t="s">
        <v>87</v>
      </c>
      <c r="D35" s="38" t="s">
        <v>86</v>
      </c>
      <c r="E35" s="38">
        <v>28</v>
      </c>
      <c r="F35" s="39">
        <v>100</v>
      </c>
      <c r="G35" s="40">
        <f t="shared" si="0"/>
        <v>2800</v>
      </c>
      <c r="H35" s="41">
        <v>43115</v>
      </c>
      <c r="I35" s="42"/>
    </row>
    <row r="36" spans="1:9" x14ac:dyDescent="0.3">
      <c r="A36" s="38" t="s">
        <v>88</v>
      </c>
      <c r="B36" s="38" t="s">
        <v>97</v>
      </c>
      <c r="C36" s="38" t="s">
        <v>79</v>
      </c>
      <c r="D36" s="38" t="s">
        <v>81</v>
      </c>
      <c r="E36" s="38">
        <v>12</v>
      </c>
      <c r="F36" s="39">
        <v>250</v>
      </c>
      <c r="G36" s="40">
        <f t="shared" si="0"/>
        <v>3000</v>
      </c>
      <c r="H36" s="41">
        <v>43155</v>
      </c>
      <c r="I36" s="42"/>
    </row>
    <row r="37" spans="1:9" x14ac:dyDescent="0.3">
      <c r="A37" s="38" t="s">
        <v>88</v>
      </c>
      <c r="B37" s="38" t="s">
        <v>94</v>
      </c>
      <c r="C37" s="38" t="s">
        <v>87</v>
      </c>
      <c r="D37" s="38" t="s">
        <v>86</v>
      </c>
      <c r="E37" s="38">
        <v>23</v>
      </c>
      <c r="F37" s="39">
        <v>100</v>
      </c>
      <c r="G37" s="40">
        <f t="shared" si="0"/>
        <v>2300</v>
      </c>
      <c r="H37" s="41">
        <v>43213</v>
      </c>
      <c r="I37" s="42"/>
    </row>
    <row r="38" spans="1:9" x14ac:dyDescent="0.3">
      <c r="A38" s="38" t="s">
        <v>88</v>
      </c>
      <c r="B38" s="38" t="s">
        <v>94</v>
      </c>
      <c r="C38" s="38" t="s">
        <v>79</v>
      </c>
      <c r="D38" s="38" t="s">
        <v>81</v>
      </c>
      <c r="E38" s="38">
        <v>20</v>
      </c>
      <c r="F38" s="39">
        <v>150</v>
      </c>
      <c r="G38" s="40">
        <f t="shared" si="0"/>
        <v>3000</v>
      </c>
      <c r="H38" s="41">
        <v>43219</v>
      </c>
      <c r="I38" s="42"/>
    </row>
    <row r="39" spans="1:9" x14ac:dyDescent="0.3">
      <c r="A39" s="38" t="s">
        <v>88</v>
      </c>
      <c r="B39" s="38" t="s">
        <v>75</v>
      </c>
      <c r="C39" s="38" t="s">
        <v>95</v>
      </c>
      <c r="D39" s="38" t="s">
        <v>83</v>
      </c>
      <c r="E39" s="38">
        <v>50</v>
      </c>
      <c r="F39" s="39">
        <v>200</v>
      </c>
      <c r="G39" s="40">
        <f t="shared" si="0"/>
        <v>10000</v>
      </c>
      <c r="H39" s="41">
        <v>43265</v>
      </c>
      <c r="I39" s="42"/>
    </row>
    <row r="40" spans="1:9" x14ac:dyDescent="0.3">
      <c r="A40" s="38" t="s">
        <v>88</v>
      </c>
      <c r="B40" s="38" t="s">
        <v>75</v>
      </c>
      <c r="C40" s="38" t="s">
        <v>92</v>
      </c>
      <c r="D40" s="38" t="s">
        <v>93</v>
      </c>
      <c r="E40" s="38">
        <v>45</v>
      </c>
      <c r="F40" s="39">
        <v>85</v>
      </c>
      <c r="G40" s="40">
        <f t="shared" si="0"/>
        <v>3825</v>
      </c>
      <c r="H40" s="41">
        <v>43330</v>
      </c>
      <c r="I40" s="42"/>
    </row>
    <row r="41" spans="1:9" x14ac:dyDescent="0.3">
      <c r="A41" s="38" t="s">
        <v>88</v>
      </c>
      <c r="B41" s="38" t="s">
        <v>75</v>
      </c>
      <c r="C41" s="38" t="s">
        <v>90</v>
      </c>
      <c r="D41" s="38" t="s">
        <v>81</v>
      </c>
      <c r="E41" s="38">
        <v>50</v>
      </c>
      <c r="F41" s="39">
        <v>150</v>
      </c>
      <c r="G41" s="40">
        <f t="shared" si="0"/>
        <v>7500</v>
      </c>
      <c r="H41" s="41">
        <v>43339</v>
      </c>
      <c r="I41" s="42"/>
    </row>
    <row r="42" spans="1:9" x14ac:dyDescent="0.3">
      <c r="A42" s="38" t="s">
        <v>88</v>
      </c>
      <c r="B42" s="38" t="s">
        <v>96</v>
      </c>
      <c r="C42" s="38" t="s">
        <v>82</v>
      </c>
      <c r="D42" s="38" t="s">
        <v>83</v>
      </c>
      <c r="E42" s="38">
        <v>25</v>
      </c>
      <c r="F42" s="39">
        <v>350</v>
      </c>
      <c r="G42" s="40">
        <f t="shared" si="0"/>
        <v>8750</v>
      </c>
      <c r="H42" s="41">
        <v>43360</v>
      </c>
      <c r="I42" s="42"/>
    </row>
    <row r="43" spans="1:9" x14ac:dyDescent="0.3">
      <c r="A43" s="38" t="s">
        <v>88</v>
      </c>
      <c r="B43" s="38" t="s">
        <v>89</v>
      </c>
      <c r="C43" s="38" t="s">
        <v>76</v>
      </c>
      <c r="D43" s="38" t="s">
        <v>77</v>
      </c>
      <c r="E43" s="38">
        <v>105</v>
      </c>
      <c r="F43" s="39">
        <v>100</v>
      </c>
      <c r="G43" s="40">
        <f t="shared" si="0"/>
        <v>10500</v>
      </c>
      <c r="H43" s="41">
        <v>43101</v>
      </c>
      <c r="I43" s="42"/>
    </row>
    <row r="44" spans="1:9" x14ac:dyDescent="0.3">
      <c r="A44" s="38" t="s">
        <v>88</v>
      </c>
      <c r="B44" s="38" t="s">
        <v>75</v>
      </c>
      <c r="C44" s="38" t="s">
        <v>90</v>
      </c>
      <c r="D44" s="38" t="s">
        <v>81</v>
      </c>
      <c r="E44" s="38">
        <v>55</v>
      </c>
      <c r="F44" s="39">
        <v>150</v>
      </c>
      <c r="G44" s="40">
        <f t="shared" si="0"/>
        <v>8250</v>
      </c>
      <c r="H44" s="41">
        <v>43108</v>
      </c>
      <c r="I44" s="42"/>
    </row>
    <row r="45" spans="1:9" x14ac:dyDescent="0.3">
      <c r="A45" s="38" t="s">
        <v>88</v>
      </c>
      <c r="B45" s="38" t="s">
        <v>89</v>
      </c>
      <c r="C45" s="38" t="s">
        <v>90</v>
      </c>
      <c r="D45" s="38" t="s">
        <v>81</v>
      </c>
      <c r="E45" s="38">
        <v>105</v>
      </c>
      <c r="F45" s="39">
        <v>250</v>
      </c>
      <c r="G45" s="40">
        <f t="shared" si="0"/>
        <v>26250</v>
      </c>
      <c r="H45" s="41">
        <v>43109</v>
      </c>
      <c r="I45" s="42"/>
    </row>
    <row r="46" spans="1:9" x14ac:dyDescent="0.3">
      <c r="A46" s="38" t="s">
        <v>88</v>
      </c>
      <c r="B46" s="38" t="s">
        <v>75</v>
      </c>
      <c r="C46" s="38" t="s">
        <v>92</v>
      </c>
      <c r="D46" s="38" t="s">
        <v>93</v>
      </c>
      <c r="E46" s="38">
        <v>50</v>
      </c>
      <c r="F46" s="39">
        <v>85</v>
      </c>
      <c r="G46" s="40">
        <f t="shared" si="0"/>
        <v>4250</v>
      </c>
      <c r="H46" s="41">
        <v>43110</v>
      </c>
      <c r="I46" s="42"/>
    </row>
    <row r="47" spans="1:9" x14ac:dyDescent="0.3">
      <c r="A47" s="38" t="s">
        <v>88</v>
      </c>
      <c r="B47" s="38" t="s">
        <v>96</v>
      </c>
      <c r="C47" s="38" t="s">
        <v>79</v>
      </c>
      <c r="D47" s="38" t="s">
        <v>81</v>
      </c>
      <c r="E47" s="38">
        <v>25</v>
      </c>
      <c r="F47" s="39">
        <v>150</v>
      </c>
      <c r="G47" s="40">
        <f t="shared" si="0"/>
        <v>3750</v>
      </c>
      <c r="H47" s="41">
        <v>43111</v>
      </c>
      <c r="I47" s="42"/>
    </row>
    <row r="48" spans="1:9" x14ac:dyDescent="0.3">
      <c r="A48" s="38" t="s">
        <v>88</v>
      </c>
      <c r="B48" s="38" t="s">
        <v>94</v>
      </c>
      <c r="C48" s="38" t="s">
        <v>79</v>
      </c>
      <c r="D48" s="38" t="s">
        <v>81</v>
      </c>
      <c r="E48" s="38">
        <v>17</v>
      </c>
      <c r="F48" s="39">
        <v>250</v>
      </c>
      <c r="G48" s="40">
        <f t="shared" si="0"/>
        <v>4250</v>
      </c>
      <c r="H48" s="41">
        <v>43112</v>
      </c>
      <c r="I48" s="42"/>
    </row>
    <row r="49" spans="1:9" x14ac:dyDescent="0.3">
      <c r="A49" s="38" t="s">
        <v>88</v>
      </c>
      <c r="B49" s="38" t="s">
        <v>89</v>
      </c>
      <c r="C49" s="38" t="s">
        <v>82</v>
      </c>
      <c r="D49" s="38" t="s">
        <v>83</v>
      </c>
      <c r="E49" s="38">
        <v>55</v>
      </c>
      <c r="F49" s="39">
        <v>200</v>
      </c>
      <c r="G49" s="40">
        <f t="shared" si="0"/>
        <v>11000</v>
      </c>
      <c r="H49" s="41">
        <v>43113</v>
      </c>
      <c r="I49" s="42"/>
    </row>
    <row r="50" spans="1:9" x14ac:dyDescent="0.3">
      <c r="A50" s="38" t="s">
        <v>98</v>
      </c>
      <c r="B50" s="38" t="s">
        <v>75</v>
      </c>
      <c r="C50" s="38" t="s">
        <v>99</v>
      </c>
      <c r="D50" s="38" t="s">
        <v>93</v>
      </c>
      <c r="E50" s="38">
        <v>25</v>
      </c>
      <c r="F50" s="39">
        <v>450</v>
      </c>
      <c r="G50" s="40">
        <f t="shared" si="0"/>
        <v>11250</v>
      </c>
      <c r="H50" s="41">
        <v>43319</v>
      </c>
      <c r="I50" s="42"/>
    </row>
    <row r="51" spans="1:9" x14ac:dyDescent="0.3">
      <c r="A51" s="38" t="s">
        <v>98</v>
      </c>
      <c r="B51" s="38" t="s">
        <v>100</v>
      </c>
      <c r="C51" s="38" t="s">
        <v>79</v>
      </c>
      <c r="D51" s="38" t="s">
        <v>81</v>
      </c>
      <c r="E51" s="38">
        <v>20</v>
      </c>
      <c r="F51" s="39">
        <v>350</v>
      </c>
      <c r="G51" s="40">
        <f t="shared" si="0"/>
        <v>7000</v>
      </c>
      <c r="H51" s="41">
        <v>43355</v>
      </c>
      <c r="I51" s="42"/>
    </row>
    <row r="52" spans="1:9" x14ac:dyDescent="0.3">
      <c r="A52" s="38" t="s">
        <v>98</v>
      </c>
      <c r="B52" s="38" t="s">
        <v>101</v>
      </c>
      <c r="C52" s="38" t="s">
        <v>95</v>
      </c>
      <c r="D52" s="38" t="s">
        <v>83</v>
      </c>
      <c r="E52" s="38">
        <v>45</v>
      </c>
      <c r="F52" s="39">
        <v>400</v>
      </c>
      <c r="G52" s="40">
        <f t="shared" si="0"/>
        <v>18000</v>
      </c>
      <c r="H52" s="41">
        <v>43386</v>
      </c>
      <c r="I52" s="42"/>
    </row>
    <row r="53" spans="1:9" x14ac:dyDescent="0.3">
      <c r="A53" s="38" t="s">
        <v>98</v>
      </c>
      <c r="B53" s="38" t="s">
        <v>94</v>
      </c>
      <c r="C53" s="38" t="s">
        <v>80</v>
      </c>
      <c r="D53" s="38" t="s">
        <v>77</v>
      </c>
      <c r="E53" s="38">
        <v>17</v>
      </c>
      <c r="F53" s="39">
        <v>350</v>
      </c>
      <c r="G53" s="40">
        <f t="shared" si="0"/>
        <v>5950</v>
      </c>
      <c r="H53" s="41">
        <v>43434</v>
      </c>
      <c r="I53" s="42"/>
    </row>
    <row r="54" spans="1:9" x14ac:dyDescent="0.3">
      <c r="A54" s="38" t="s">
        <v>98</v>
      </c>
      <c r="B54" s="38" t="s">
        <v>75</v>
      </c>
      <c r="C54" s="38" t="s">
        <v>92</v>
      </c>
      <c r="D54" s="38" t="s">
        <v>93</v>
      </c>
      <c r="E54" s="38">
        <v>25</v>
      </c>
      <c r="F54" s="39">
        <v>450</v>
      </c>
      <c r="G54" s="40">
        <f t="shared" si="0"/>
        <v>11250</v>
      </c>
      <c r="H54" s="41">
        <v>43116</v>
      </c>
      <c r="I54" s="42"/>
    </row>
    <row r="55" spans="1:9" x14ac:dyDescent="0.3">
      <c r="A55" s="38" t="s">
        <v>98</v>
      </c>
      <c r="B55" s="38" t="s">
        <v>102</v>
      </c>
      <c r="C55" s="38" t="s">
        <v>99</v>
      </c>
      <c r="D55" s="38" t="s">
        <v>93</v>
      </c>
      <c r="E55" s="38">
        <v>20</v>
      </c>
      <c r="F55" s="39">
        <v>750</v>
      </c>
      <c r="G55" s="40">
        <f t="shared" si="0"/>
        <v>15000</v>
      </c>
      <c r="H55" s="41">
        <v>43148</v>
      </c>
      <c r="I55" s="42"/>
    </row>
    <row r="56" spans="1:9" x14ac:dyDescent="0.3">
      <c r="A56" s="38" t="s">
        <v>98</v>
      </c>
      <c r="B56" s="38" t="s">
        <v>94</v>
      </c>
      <c r="C56" s="38" t="s">
        <v>80</v>
      </c>
      <c r="D56" s="38" t="s">
        <v>77</v>
      </c>
      <c r="E56" s="38">
        <v>10</v>
      </c>
      <c r="F56" s="39">
        <v>650</v>
      </c>
      <c r="G56" s="40">
        <f t="shared" si="0"/>
        <v>6500</v>
      </c>
      <c r="H56" s="41">
        <v>43149</v>
      </c>
      <c r="I56" s="42"/>
    </row>
    <row r="57" spans="1:9" x14ac:dyDescent="0.3">
      <c r="A57" s="38" t="s">
        <v>98</v>
      </c>
      <c r="B57" s="38" t="s">
        <v>101</v>
      </c>
      <c r="C57" s="38" t="s">
        <v>80</v>
      </c>
      <c r="D57" s="38" t="s">
        <v>77</v>
      </c>
      <c r="E57" s="38">
        <v>22</v>
      </c>
      <c r="F57" s="39">
        <v>350</v>
      </c>
      <c r="G57" s="40">
        <f t="shared" si="0"/>
        <v>7700</v>
      </c>
      <c r="H57" s="41">
        <v>43178</v>
      </c>
      <c r="I57" s="42"/>
    </row>
    <row r="58" spans="1:9" x14ac:dyDescent="0.3">
      <c r="A58" s="38" t="s">
        <v>98</v>
      </c>
      <c r="B58" s="38" t="s">
        <v>94</v>
      </c>
      <c r="C58" s="38" t="s">
        <v>90</v>
      </c>
      <c r="D58" s="38" t="s">
        <v>81</v>
      </c>
      <c r="E58" s="38">
        <v>20</v>
      </c>
      <c r="F58" s="39">
        <v>450</v>
      </c>
      <c r="G58" s="40">
        <f t="shared" si="0"/>
        <v>9000</v>
      </c>
      <c r="H58" s="41">
        <v>43179</v>
      </c>
      <c r="I58" s="42"/>
    </row>
    <row r="59" spans="1:9" x14ac:dyDescent="0.3">
      <c r="A59" s="38" t="s">
        <v>98</v>
      </c>
      <c r="B59" s="38" t="s">
        <v>94</v>
      </c>
      <c r="C59" s="38" t="s">
        <v>79</v>
      </c>
      <c r="D59" s="38" t="s">
        <v>81</v>
      </c>
      <c r="E59" s="38">
        <v>15</v>
      </c>
      <c r="F59" s="39">
        <v>350</v>
      </c>
      <c r="G59" s="40">
        <f t="shared" si="0"/>
        <v>5250</v>
      </c>
      <c r="H59" s="41">
        <v>43218</v>
      </c>
      <c r="I59" s="42"/>
    </row>
    <row r="60" spans="1:9" x14ac:dyDescent="0.3">
      <c r="A60" s="38" t="s">
        <v>98</v>
      </c>
      <c r="B60" s="38" t="s">
        <v>94</v>
      </c>
      <c r="C60" s="38" t="s">
        <v>79</v>
      </c>
      <c r="D60" s="38" t="s">
        <v>81</v>
      </c>
      <c r="E60" s="38">
        <v>75</v>
      </c>
      <c r="F60" s="39">
        <v>350</v>
      </c>
      <c r="G60" s="40">
        <f t="shared" si="0"/>
        <v>26250</v>
      </c>
      <c r="H60" s="41">
        <v>43241</v>
      </c>
      <c r="I60" s="42"/>
    </row>
    <row r="61" spans="1:9" x14ac:dyDescent="0.3">
      <c r="A61" s="38" t="s">
        <v>98</v>
      </c>
      <c r="B61" s="38" t="s">
        <v>94</v>
      </c>
      <c r="C61" s="38" t="s">
        <v>80</v>
      </c>
      <c r="D61" s="38" t="s">
        <v>77</v>
      </c>
      <c r="E61" s="38">
        <v>5</v>
      </c>
      <c r="F61" s="39">
        <v>650</v>
      </c>
      <c r="G61" s="40">
        <f t="shared" si="0"/>
        <v>3250</v>
      </c>
      <c r="H61" s="41">
        <v>43242</v>
      </c>
      <c r="I61" s="42"/>
    </row>
    <row r="62" spans="1:9" x14ac:dyDescent="0.3">
      <c r="A62" s="38" t="s">
        <v>98</v>
      </c>
      <c r="B62" s="38" t="s">
        <v>75</v>
      </c>
      <c r="C62" s="38" t="s">
        <v>99</v>
      </c>
      <c r="D62" s="38" t="s">
        <v>93</v>
      </c>
      <c r="E62" s="38">
        <v>20</v>
      </c>
      <c r="F62" s="39">
        <v>450</v>
      </c>
      <c r="G62" s="40">
        <f t="shared" si="0"/>
        <v>9000</v>
      </c>
      <c r="H62" s="41">
        <v>43337</v>
      </c>
      <c r="I62" s="42"/>
    </row>
    <row r="63" spans="1:9" x14ac:dyDescent="0.3">
      <c r="A63" s="38" t="s">
        <v>98</v>
      </c>
      <c r="B63" s="38" t="s">
        <v>101</v>
      </c>
      <c r="C63" s="38" t="s">
        <v>82</v>
      </c>
      <c r="D63" s="38" t="s">
        <v>83</v>
      </c>
      <c r="E63" s="38">
        <v>40</v>
      </c>
      <c r="F63" s="39">
        <v>400</v>
      </c>
      <c r="G63" s="40">
        <f t="shared" si="0"/>
        <v>16000</v>
      </c>
      <c r="H63" s="41">
        <v>43392</v>
      </c>
      <c r="I63" s="42"/>
    </row>
    <row r="64" spans="1:9" x14ac:dyDescent="0.3">
      <c r="A64" s="38" t="s">
        <v>98</v>
      </c>
      <c r="B64" s="38" t="s">
        <v>102</v>
      </c>
      <c r="C64" s="38" t="s">
        <v>99</v>
      </c>
      <c r="D64" s="38" t="s">
        <v>93</v>
      </c>
      <c r="E64" s="38">
        <v>15</v>
      </c>
      <c r="F64" s="39">
        <v>750</v>
      </c>
      <c r="G64" s="40">
        <f t="shared" si="0"/>
        <v>11250</v>
      </c>
      <c r="H64" s="41">
        <v>43430</v>
      </c>
      <c r="I64" s="42"/>
    </row>
    <row r="65" spans="1:9" x14ac:dyDescent="0.3">
      <c r="A65" s="38" t="s">
        <v>98</v>
      </c>
      <c r="B65" s="38" t="s">
        <v>102</v>
      </c>
      <c r="C65" s="38" t="s">
        <v>99</v>
      </c>
      <c r="D65" s="38" t="s">
        <v>93</v>
      </c>
      <c r="E65" s="38">
        <v>20</v>
      </c>
      <c r="F65" s="39">
        <v>750</v>
      </c>
      <c r="G65" s="40">
        <f t="shared" si="0"/>
        <v>15000</v>
      </c>
      <c r="H65" s="41">
        <v>43108</v>
      </c>
      <c r="I65" s="42"/>
    </row>
    <row r="66" spans="1:9" x14ac:dyDescent="0.3">
      <c r="A66" s="38" t="s">
        <v>98</v>
      </c>
      <c r="B66" s="38" t="s">
        <v>94</v>
      </c>
      <c r="C66" s="38" t="s">
        <v>80</v>
      </c>
      <c r="D66" s="38" t="s">
        <v>77</v>
      </c>
      <c r="E66" s="38">
        <v>10</v>
      </c>
      <c r="F66" s="39">
        <v>650</v>
      </c>
      <c r="G66" s="40">
        <f t="shared" ref="G66:G118" si="1">E66*F66</f>
        <v>6500</v>
      </c>
      <c r="H66" s="41">
        <v>43109</v>
      </c>
      <c r="I66" s="42"/>
    </row>
    <row r="67" spans="1:9" x14ac:dyDescent="0.3">
      <c r="A67" s="38" t="s">
        <v>98</v>
      </c>
      <c r="B67" s="38" t="s">
        <v>101</v>
      </c>
      <c r="C67" s="38" t="s">
        <v>80</v>
      </c>
      <c r="D67" s="38" t="s">
        <v>77</v>
      </c>
      <c r="E67" s="38">
        <v>22</v>
      </c>
      <c r="F67" s="39">
        <v>350</v>
      </c>
      <c r="G67" s="40">
        <f t="shared" si="1"/>
        <v>7700</v>
      </c>
      <c r="H67" s="41">
        <v>43141</v>
      </c>
      <c r="I67" s="42"/>
    </row>
    <row r="68" spans="1:9" x14ac:dyDescent="0.3">
      <c r="A68" s="38" t="s">
        <v>98</v>
      </c>
      <c r="B68" s="38" t="s">
        <v>94</v>
      </c>
      <c r="C68" s="38" t="s">
        <v>90</v>
      </c>
      <c r="D68" s="38" t="s">
        <v>81</v>
      </c>
      <c r="E68" s="38">
        <v>20</v>
      </c>
      <c r="F68" s="39">
        <v>450</v>
      </c>
      <c r="G68" s="40">
        <f t="shared" si="1"/>
        <v>9000</v>
      </c>
      <c r="H68" s="41">
        <v>43142</v>
      </c>
      <c r="I68" s="42"/>
    </row>
    <row r="69" spans="1:9" x14ac:dyDescent="0.3">
      <c r="A69" s="38" t="s">
        <v>98</v>
      </c>
      <c r="B69" s="38" t="s">
        <v>101</v>
      </c>
      <c r="C69" s="38" t="s">
        <v>82</v>
      </c>
      <c r="D69" s="38" t="s">
        <v>83</v>
      </c>
      <c r="E69" s="38">
        <v>45</v>
      </c>
      <c r="F69" s="39">
        <v>400</v>
      </c>
      <c r="G69" s="40">
        <f t="shared" si="1"/>
        <v>18000</v>
      </c>
      <c r="H69" s="41">
        <v>43181</v>
      </c>
      <c r="I69" s="42"/>
    </row>
    <row r="70" spans="1:9" x14ac:dyDescent="0.3">
      <c r="A70" s="38" t="s">
        <v>98</v>
      </c>
      <c r="B70" s="38" t="s">
        <v>75</v>
      </c>
      <c r="C70" s="38" t="s">
        <v>90</v>
      </c>
      <c r="D70" s="38" t="s">
        <v>81</v>
      </c>
      <c r="E70" s="38">
        <v>15</v>
      </c>
      <c r="F70" s="39">
        <v>450</v>
      </c>
      <c r="G70" s="40">
        <f t="shared" si="1"/>
        <v>6750</v>
      </c>
      <c r="H70" s="41">
        <v>43182</v>
      </c>
      <c r="I70" s="42"/>
    </row>
    <row r="71" spans="1:9" x14ac:dyDescent="0.3">
      <c r="A71" s="38" t="s">
        <v>78</v>
      </c>
      <c r="B71" s="38" t="s">
        <v>75</v>
      </c>
      <c r="C71" s="38" t="s">
        <v>79</v>
      </c>
      <c r="D71" s="38" t="s">
        <v>81</v>
      </c>
      <c r="E71" s="38">
        <v>40</v>
      </c>
      <c r="F71" s="39">
        <v>3000</v>
      </c>
      <c r="G71" s="40">
        <f t="shared" si="1"/>
        <v>120000</v>
      </c>
      <c r="H71" s="41">
        <v>43303</v>
      </c>
      <c r="I71" s="42"/>
    </row>
    <row r="72" spans="1:9" x14ac:dyDescent="0.3">
      <c r="A72" s="38" t="s">
        <v>78</v>
      </c>
      <c r="B72" s="38" t="s">
        <v>103</v>
      </c>
      <c r="C72" s="38" t="s">
        <v>82</v>
      </c>
      <c r="D72" s="38" t="s">
        <v>83</v>
      </c>
      <c r="E72" s="38">
        <v>9</v>
      </c>
      <c r="F72" s="39">
        <v>2000</v>
      </c>
      <c r="G72" s="40">
        <f t="shared" si="1"/>
        <v>18000</v>
      </c>
      <c r="H72" s="41">
        <v>43304</v>
      </c>
      <c r="I72" s="42"/>
    </row>
    <row r="73" spans="1:9" x14ac:dyDescent="0.3">
      <c r="A73" s="38" t="s">
        <v>78</v>
      </c>
      <c r="B73" s="43" t="s">
        <v>104</v>
      </c>
      <c r="C73" s="38" t="s">
        <v>87</v>
      </c>
      <c r="D73" s="38" t="s">
        <v>86</v>
      </c>
      <c r="E73" s="38">
        <v>13</v>
      </c>
      <c r="F73" s="39">
        <v>1850</v>
      </c>
      <c r="G73" s="40">
        <f t="shared" si="1"/>
        <v>24050</v>
      </c>
      <c r="H73" s="41">
        <v>43305</v>
      </c>
      <c r="I73" s="42"/>
    </row>
    <row r="74" spans="1:9" x14ac:dyDescent="0.3">
      <c r="A74" s="38" t="s">
        <v>78</v>
      </c>
      <c r="B74" s="38" t="s">
        <v>75</v>
      </c>
      <c r="C74" s="38" t="s">
        <v>99</v>
      </c>
      <c r="D74" s="38" t="s">
        <v>93</v>
      </c>
      <c r="E74" s="38">
        <v>15</v>
      </c>
      <c r="F74" s="39">
        <v>2850</v>
      </c>
      <c r="G74" s="40">
        <f t="shared" si="1"/>
        <v>42750</v>
      </c>
      <c r="H74" s="41">
        <v>43364</v>
      </c>
      <c r="I74" s="42"/>
    </row>
    <row r="75" spans="1:9" x14ac:dyDescent="0.3">
      <c r="A75" s="38" t="s">
        <v>78</v>
      </c>
      <c r="B75" s="38" t="s">
        <v>75</v>
      </c>
      <c r="C75" s="38" t="s">
        <v>99</v>
      </c>
      <c r="D75" s="38" t="s">
        <v>93</v>
      </c>
      <c r="E75" s="38">
        <v>20</v>
      </c>
      <c r="F75" s="39">
        <v>3200</v>
      </c>
      <c r="G75" s="40">
        <f t="shared" si="1"/>
        <v>64000</v>
      </c>
      <c r="H75" s="41">
        <v>43365</v>
      </c>
      <c r="I75" s="42"/>
    </row>
    <row r="76" spans="1:9" x14ac:dyDescent="0.3">
      <c r="A76" s="38" t="s">
        <v>78</v>
      </c>
      <c r="B76" s="38" t="s">
        <v>75</v>
      </c>
      <c r="C76" s="38" t="s">
        <v>90</v>
      </c>
      <c r="D76" s="38" t="s">
        <v>81</v>
      </c>
      <c r="E76" s="38">
        <v>25</v>
      </c>
      <c r="F76" s="39">
        <v>3500</v>
      </c>
      <c r="G76" s="40">
        <f t="shared" si="1"/>
        <v>87500</v>
      </c>
      <c r="H76" s="41">
        <v>43366</v>
      </c>
      <c r="I76" s="42"/>
    </row>
    <row r="77" spans="1:9" x14ac:dyDescent="0.3">
      <c r="A77" s="38" t="s">
        <v>78</v>
      </c>
      <c r="B77" s="43" t="s">
        <v>104</v>
      </c>
      <c r="C77" s="38" t="s">
        <v>90</v>
      </c>
      <c r="D77" s="38" t="s">
        <v>81</v>
      </c>
      <c r="E77" s="38">
        <v>20</v>
      </c>
      <c r="F77" s="39">
        <v>1850</v>
      </c>
      <c r="G77" s="40">
        <f t="shared" si="1"/>
        <v>37000</v>
      </c>
      <c r="H77" s="41">
        <v>43367</v>
      </c>
      <c r="I77" s="42"/>
    </row>
    <row r="78" spans="1:9" x14ac:dyDescent="0.3">
      <c r="A78" s="38" t="s">
        <v>78</v>
      </c>
      <c r="B78" s="38" t="s">
        <v>75</v>
      </c>
      <c r="C78" s="38" t="s">
        <v>79</v>
      </c>
      <c r="D78" s="38" t="s">
        <v>81</v>
      </c>
      <c r="E78" s="38">
        <v>20</v>
      </c>
      <c r="F78" s="39">
        <v>2500</v>
      </c>
      <c r="G78" s="40">
        <f t="shared" si="1"/>
        <v>50000</v>
      </c>
      <c r="H78" s="41">
        <v>43368</v>
      </c>
      <c r="I78" s="42"/>
    </row>
    <row r="79" spans="1:9" x14ac:dyDescent="0.3">
      <c r="A79" s="38" t="s">
        <v>78</v>
      </c>
      <c r="B79" s="38" t="s">
        <v>75</v>
      </c>
      <c r="C79" s="38" t="s">
        <v>90</v>
      </c>
      <c r="D79" s="38" t="s">
        <v>81</v>
      </c>
      <c r="E79" s="38">
        <v>20</v>
      </c>
      <c r="F79" s="39">
        <v>3500</v>
      </c>
      <c r="G79" s="40">
        <f t="shared" si="1"/>
        <v>70000</v>
      </c>
      <c r="H79" s="41">
        <v>43414</v>
      </c>
      <c r="I79" s="42"/>
    </row>
    <row r="80" spans="1:9" x14ac:dyDescent="0.3">
      <c r="A80" s="38" t="s">
        <v>78</v>
      </c>
      <c r="B80" s="43" t="s">
        <v>104</v>
      </c>
      <c r="C80" s="38" t="s">
        <v>90</v>
      </c>
      <c r="D80" s="38" t="s">
        <v>81</v>
      </c>
      <c r="E80" s="38">
        <v>15</v>
      </c>
      <c r="F80" s="39">
        <v>1850</v>
      </c>
      <c r="G80" s="40">
        <f t="shared" si="1"/>
        <v>27750</v>
      </c>
      <c r="H80" s="41">
        <v>43417</v>
      </c>
      <c r="I80" s="42"/>
    </row>
    <row r="81" spans="1:9" x14ac:dyDescent="0.3">
      <c r="A81" s="38" t="s">
        <v>78</v>
      </c>
      <c r="B81" s="38" t="s">
        <v>105</v>
      </c>
      <c r="C81" s="38" t="s">
        <v>79</v>
      </c>
      <c r="D81" s="38" t="s">
        <v>81</v>
      </c>
      <c r="E81" s="38">
        <v>20</v>
      </c>
      <c r="F81" s="39">
        <v>1850</v>
      </c>
      <c r="G81" s="40">
        <f t="shared" si="1"/>
        <v>37000</v>
      </c>
      <c r="H81" s="41">
        <v>43449</v>
      </c>
      <c r="I81" s="42"/>
    </row>
    <row r="82" spans="1:9" x14ac:dyDescent="0.3">
      <c r="A82" s="38" t="s">
        <v>78</v>
      </c>
      <c r="B82" s="38" t="s">
        <v>105</v>
      </c>
      <c r="C82" s="38" t="s">
        <v>79</v>
      </c>
      <c r="D82" s="38" t="s">
        <v>81</v>
      </c>
      <c r="E82" s="38">
        <v>20</v>
      </c>
      <c r="F82" s="39">
        <v>3000</v>
      </c>
      <c r="G82" s="40">
        <f t="shared" si="1"/>
        <v>60000</v>
      </c>
      <c r="H82" s="41">
        <v>43454</v>
      </c>
      <c r="I82" s="42"/>
    </row>
    <row r="83" spans="1:9" x14ac:dyDescent="0.3">
      <c r="A83" s="38" t="s">
        <v>78</v>
      </c>
      <c r="B83" s="38" t="s">
        <v>75</v>
      </c>
      <c r="C83" s="38" t="s">
        <v>92</v>
      </c>
      <c r="D83" s="38" t="s">
        <v>93</v>
      </c>
      <c r="E83" s="38">
        <v>10</v>
      </c>
      <c r="F83" s="39">
        <v>2850</v>
      </c>
      <c r="G83" s="40">
        <f t="shared" si="1"/>
        <v>28500</v>
      </c>
      <c r="H83" s="41">
        <v>43170</v>
      </c>
      <c r="I83" s="42"/>
    </row>
    <row r="84" spans="1:9" x14ac:dyDescent="0.3">
      <c r="A84" s="38" t="s">
        <v>78</v>
      </c>
      <c r="B84" s="38" t="s">
        <v>105</v>
      </c>
      <c r="C84" s="38" t="s">
        <v>95</v>
      </c>
      <c r="D84" s="38" t="s">
        <v>83</v>
      </c>
      <c r="E84" s="38">
        <v>4</v>
      </c>
      <c r="F84" s="39">
        <v>2000</v>
      </c>
      <c r="G84" s="40">
        <f t="shared" si="1"/>
        <v>8000</v>
      </c>
      <c r="H84" s="41">
        <v>43276</v>
      </c>
      <c r="I84" s="42"/>
    </row>
    <row r="85" spans="1:9" x14ac:dyDescent="0.3">
      <c r="A85" s="38" t="s">
        <v>78</v>
      </c>
      <c r="B85" s="38" t="s">
        <v>105</v>
      </c>
      <c r="C85" s="38" t="s">
        <v>79</v>
      </c>
      <c r="D85" s="38" t="s">
        <v>81</v>
      </c>
      <c r="E85" s="38">
        <v>25</v>
      </c>
      <c r="F85" s="39">
        <v>1850</v>
      </c>
      <c r="G85" s="40">
        <f t="shared" si="1"/>
        <v>46250</v>
      </c>
      <c r="H85" s="41">
        <v>43300</v>
      </c>
      <c r="I85" s="42"/>
    </row>
    <row r="86" spans="1:9" x14ac:dyDescent="0.3">
      <c r="A86" s="38" t="s">
        <v>78</v>
      </c>
      <c r="B86" s="38" t="s">
        <v>105</v>
      </c>
      <c r="C86" s="38" t="s">
        <v>79</v>
      </c>
      <c r="D86" s="38" t="s">
        <v>81</v>
      </c>
      <c r="E86" s="38">
        <v>20</v>
      </c>
      <c r="F86" s="39">
        <v>3250</v>
      </c>
      <c r="G86" s="40">
        <f t="shared" si="1"/>
        <v>65000</v>
      </c>
      <c r="H86" s="41">
        <v>43301</v>
      </c>
      <c r="I86" s="42"/>
    </row>
    <row r="87" spans="1:9" x14ac:dyDescent="0.3">
      <c r="A87" s="38" t="s">
        <v>78</v>
      </c>
      <c r="B87" s="38" t="s">
        <v>75</v>
      </c>
      <c r="C87" s="38" t="s">
        <v>79</v>
      </c>
      <c r="D87" s="38" t="s">
        <v>81</v>
      </c>
      <c r="E87" s="38">
        <v>15</v>
      </c>
      <c r="F87" s="39">
        <v>3250</v>
      </c>
      <c r="G87" s="40">
        <f t="shared" si="1"/>
        <v>48750</v>
      </c>
      <c r="H87" s="41">
        <v>43301</v>
      </c>
      <c r="I87" s="42"/>
    </row>
    <row r="88" spans="1:9" x14ac:dyDescent="0.3">
      <c r="A88" s="38" t="s">
        <v>78</v>
      </c>
      <c r="B88" s="43" t="s">
        <v>104</v>
      </c>
      <c r="C88" s="38" t="s">
        <v>79</v>
      </c>
      <c r="D88" s="38" t="s">
        <v>81</v>
      </c>
      <c r="E88" s="38">
        <v>61</v>
      </c>
      <c r="F88" s="39">
        <v>2000</v>
      </c>
      <c r="G88" s="40">
        <f t="shared" si="1"/>
        <v>122000</v>
      </c>
      <c r="H88" s="41">
        <v>43302</v>
      </c>
      <c r="I88" s="42"/>
    </row>
    <row r="89" spans="1:9" x14ac:dyDescent="0.3">
      <c r="A89" s="38" t="s">
        <v>78</v>
      </c>
      <c r="B89" s="43" t="s">
        <v>104</v>
      </c>
      <c r="C89" s="38" t="s">
        <v>79</v>
      </c>
      <c r="D89" s="38" t="s">
        <v>81</v>
      </c>
      <c r="E89" s="38">
        <v>56</v>
      </c>
      <c r="F89" s="39">
        <v>2000</v>
      </c>
      <c r="G89" s="40">
        <f t="shared" si="1"/>
        <v>112000</v>
      </c>
      <c r="H89" s="41">
        <v>43335</v>
      </c>
      <c r="I89" s="42"/>
    </row>
    <row r="90" spans="1:9" x14ac:dyDescent="0.3">
      <c r="A90" s="38" t="s">
        <v>78</v>
      </c>
      <c r="B90" s="38" t="s">
        <v>75</v>
      </c>
      <c r="C90" s="38" t="s">
        <v>92</v>
      </c>
      <c r="D90" s="38" t="s">
        <v>93</v>
      </c>
      <c r="E90" s="38">
        <v>15</v>
      </c>
      <c r="F90" s="39">
        <v>3200</v>
      </c>
      <c r="G90" s="40">
        <f t="shared" si="1"/>
        <v>48000</v>
      </c>
      <c r="H90" s="41">
        <v>43365</v>
      </c>
      <c r="I90" s="42"/>
    </row>
    <row r="91" spans="1:9" x14ac:dyDescent="0.3">
      <c r="A91" s="38" t="s">
        <v>78</v>
      </c>
      <c r="B91" s="38" t="s">
        <v>75</v>
      </c>
      <c r="C91" s="38" t="s">
        <v>79</v>
      </c>
      <c r="D91" s="38" t="s">
        <v>81</v>
      </c>
      <c r="E91" s="38">
        <v>25</v>
      </c>
      <c r="F91" s="39">
        <v>3500</v>
      </c>
      <c r="G91" s="40">
        <f t="shared" si="1"/>
        <v>87500</v>
      </c>
      <c r="H91" s="41">
        <v>43410</v>
      </c>
      <c r="I91" s="42"/>
    </row>
    <row r="92" spans="1:9" x14ac:dyDescent="0.3">
      <c r="A92" s="38" t="s">
        <v>78</v>
      </c>
      <c r="B92" s="43" t="s">
        <v>104</v>
      </c>
      <c r="C92" s="38" t="s">
        <v>87</v>
      </c>
      <c r="D92" s="38" t="s">
        <v>86</v>
      </c>
      <c r="E92" s="38">
        <v>8</v>
      </c>
      <c r="F92" s="39">
        <v>1850</v>
      </c>
      <c r="G92" s="40">
        <f t="shared" si="1"/>
        <v>14800</v>
      </c>
      <c r="H92" s="41">
        <v>43420</v>
      </c>
      <c r="I92" s="42"/>
    </row>
    <row r="93" spans="1:9" x14ac:dyDescent="0.3">
      <c r="A93" s="38" t="s">
        <v>78</v>
      </c>
      <c r="B93" s="38" t="s">
        <v>75</v>
      </c>
      <c r="C93" s="38" t="s">
        <v>79</v>
      </c>
      <c r="D93" s="38" t="s">
        <v>81</v>
      </c>
      <c r="E93" s="38">
        <v>15</v>
      </c>
      <c r="F93" s="39">
        <v>2500</v>
      </c>
      <c r="G93" s="40">
        <f t="shared" si="1"/>
        <v>37500</v>
      </c>
      <c r="H93" s="41">
        <v>43438</v>
      </c>
      <c r="I93" s="42"/>
    </row>
    <row r="94" spans="1:9" x14ac:dyDescent="0.3">
      <c r="A94" s="38" t="s">
        <v>78</v>
      </c>
      <c r="B94" s="38" t="s">
        <v>105</v>
      </c>
      <c r="C94" s="38" t="s">
        <v>82</v>
      </c>
      <c r="D94" s="38" t="s">
        <v>83</v>
      </c>
      <c r="E94" s="38">
        <v>9</v>
      </c>
      <c r="F94" s="39">
        <v>2000</v>
      </c>
      <c r="G94" s="40">
        <f t="shared" si="1"/>
        <v>18000</v>
      </c>
      <c r="H94" s="41">
        <v>43132</v>
      </c>
      <c r="I94" s="42"/>
    </row>
    <row r="95" spans="1:9" x14ac:dyDescent="0.3">
      <c r="A95" s="38" t="s">
        <v>78</v>
      </c>
      <c r="B95" s="43" t="s">
        <v>104</v>
      </c>
      <c r="C95" s="38" t="s">
        <v>87</v>
      </c>
      <c r="D95" s="38" t="s">
        <v>86</v>
      </c>
      <c r="E95" s="38">
        <v>13</v>
      </c>
      <c r="F95" s="39">
        <v>1850</v>
      </c>
      <c r="G95" s="40">
        <f t="shared" si="1"/>
        <v>24050</v>
      </c>
      <c r="H95" s="41">
        <v>43133</v>
      </c>
      <c r="I95" s="42"/>
    </row>
    <row r="96" spans="1:9" x14ac:dyDescent="0.3">
      <c r="A96" s="38" t="s">
        <v>78</v>
      </c>
      <c r="B96" s="38" t="s">
        <v>75</v>
      </c>
      <c r="C96" s="38" t="s">
        <v>79</v>
      </c>
      <c r="D96" s="38" t="s">
        <v>81</v>
      </c>
      <c r="E96" s="38">
        <v>25</v>
      </c>
      <c r="F96" s="39">
        <v>3000</v>
      </c>
      <c r="G96" s="40">
        <f t="shared" si="1"/>
        <v>75000</v>
      </c>
      <c r="H96" s="41">
        <v>43141</v>
      </c>
      <c r="I96" s="42"/>
    </row>
    <row r="97" spans="1:12" x14ac:dyDescent="0.3">
      <c r="A97" s="38" t="s">
        <v>78</v>
      </c>
      <c r="B97" s="43" t="s">
        <v>104</v>
      </c>
      <c r="C97" s="38" t="s">
        <v>79</v>
      </c>
      <c r="D97" s="38" t="s">
        <v>81</v>
      </c>
      <c r="E97" s="38">
        <v>61</v>
      </c>
      <c r="F97" s="39">
        <v>2000</v>
      </c>
      <c r="G97" s="40">
        <f t="shared" si="1"/>
        <v>122000</v>
      </c>
      <c r="H97" s="41">
        <v>43150</v>
      </c>
      <c r="I97" s="42"/>
    </row>
    <row r="98" spans="1:12" x14ac:dyDescent="0.3">
      <c r="A98" s="38" t="s">
        <v>78</v>
      </c>
      <c r="B98" s="43" t="s">
        <v>104</v>
      </c>
      <c r="C98" s="38" t="s">
        <v>79</v>
      </c>
      <c r="D98" s="38" t="s">
        <v>81</v>
      </c>
      <c r="E98" s="38">
        <v>30</v>
      </c>
      <c r="F98" s="39">
        <v>3500</v>
      </c>
      <c r="G98" s="40">
        <f t="shared" si="1"/>
        <v>105000</v>
      </c>
      <c r="H98" s="41">
        <v>43157</v>
      </c>
      <c r="I98" s="42"/>
    </row>
    <row r="99" spans="1:12" x14ac:dyDescent="0.3">
      <c r="A99" s="38" t="s">
        <v>78</v>
      </c>
      <c r="B99" s="38" t="s">
        <v>105</v>
      </c>
      <c r="C99" s="38" t="s">
        <v>79</v>
      </c>
      <c r="D99" s="38" t="s">
        <v>81</v>
      </c>
      <c r="E99" s="38">
        <v>25</v>
      </c>
      <c r="F99" s="39">
        <v>1850</v>
      </c>
      <c r="G99" s="40">
        <f t="shared" si="1"/>
        <v>46250</v>
      </c>
      <c r="H99" s="41">
        <v>43158</v>
      </c>
      <c r="I99" s="42"/>
    </row>
    <row r="100" spans="1:12" x14ac:dyDescent="0.3">
      <c r="A100" s="38" t="s">
        <v>78</v>
      </c>
      <c r="B100" s="38" t="s">
        <v>105</v>
      </c>
      <c r="C100" s="38" t="s">
        <v>79</v>
      </c>
      <c r="D100" s="38" t="s">
        <v>81</v>
      </c>
      <c r="E100" s="38">
        <v>20</v>
      </c>
      <c r="F100" s="39">
        <v>3250</v>
      </c>
      <c r="G100" s="40">
        <f t="shared" si="1"/>
        <v>65000</v>
      </c>
      <c r="H100" s="41">
        <v>43159</v>
      </c>
      <c r="I100" s="42"/>
    </row>
    <row r="101" spans="1:12" x14ac:dyDescent="0.3">
      <c r="A101" s="38" t="s">
        <v>78</v>
      </c>
      <c r="B101" s="38" t="s">
        <v>75</v>
      </c>
      <c r="C101" s="38" t="s">
        <v>99</v>
      </c>
      <c r="D101" s="38" t="s">
        <v>93</v>
      </c>
      <c r="E101" s="38">
        <v>15</v>
      </c>
      <c r="F101" s="39">
        <v>2850</v>
      </c>
      <c r="G101" s="40">
        <f t="shared" si="1"/>
        <v>42750</v>
      </c>
      <c r="H101" s="41">
        <v>43172</v>
      </c>
      <c r="I101" s="42"/>
    </row>
    <row r="102" spans="1:12" x14ac:dyDescent="0.3">
      <c r="A102" s="38" t="s">
        <v>78</v>
      </c>
      <c r="B102" s="38" t="s">
        <v>75</v>
      </c>
      <c r="C102" s="38" t="s">
        <v>99</v>
      </c>
      <c r="D102" s="38" t="s">
        <v>93</v>
      </c>
      <c r="E102" s="38">
        <v>20</v>
      </c>
      <c r="F102" s="39">
        <v>3200</v>
      </c>
      <c r="G102" s="40">
        <f t="shared" si="1"/>
        <v>64000</v>
      </c>
      <c r="H102" s="41">
        <v>43173</v>
      </c>
      <c r="I102" s="42"/>
    </row>
    <row r="103" spans="1:12" x14ac:dyDescent="0.3">
      <c r="A103" s="38" t="s">
        <v>78</v>
      </c>
      <c r="B103" s="38" t="s">
        <v>75</v>
      </c>
      <c r="C103" s="38" t="s">
        <v>90</v>
      </c>
      <c r="D103" s="38" t="s">
        <v>81</v>
      </c>
      <c r="E103" s="38">
        <v>25</v>
      </c>
      <c r="F103" s="39">
        <v>3500</v>
      </c>
      <c r="G103" s="40">
        <f t="shared" si="1"/>
        <v>87500</v>
      </c>
      <c r="H103" s="41">
        <v>43174</v>
      </c>
      <c r="I103" s="42"/>
    </row>
    <row r="104" spans="1:12" x14ac:dyDescent="0.3">
      <c r="A104" s="38" t="s">
        <v>78</v>
      </c>
      <c r="B104" s="43" t="s">
        <v>104</v>
      </c>
      <c r="C104" s="38" t="s">
        <v>90</v>
      </c>
      <c r="D104" s="38" t="s">
        <v>81</v>
      </c>
      <c r="E104" s="38">
        <v>20</v>
      </c>
      <c r="F104" s="39">
        <v>1850</v>
      </c>
      <c r="G104" s="40">
        <f t="shared" si="1"/>
        <v>37000</v>
      </c>
      <c r="H104" s="41">
        <v>43175</v>
      </c>
      <c r="I104" s="42"/>
    </row>
    <row r="105" spans="1:12" x14ac:dyDescent="0.3">
      <c r="A105" s="38" t="s">
        <v>78</v>
      </c>
      <c r="B105" s="38" t="s">
        <v>75</v>
      </c>
      <c r="C105" s="38" t="s">
        <v>79</v>
      </c>
      <c r="D105" s="38" t="s">
        <v>81</v>
      </c>
      <c r="E105" s="38">
        <v>20</v>
      </c>
      <c r="F105" s="39">
        <v>2500</v>
      </c>
      <c r="G105" s="40">
        <f t="shared" si="1"/>
        <v>50000</v>
      </c>
      <c r="H105" s="41">
        <v>43176</v>
      </c>
      <c r="I105" s="42"/>
    </row>
    <row r="106" spans="1:12" x14ac:dyDescent="0.3">
      <c r="A106" s="38" t="s">
        <v>78</v>
      </c>
      <c r="B106" s="38" t="s">
        <v>75</v>
      </c>
      <c r="C106" s="38" t="s">
        <v>79</v>
      </c>
      <c r="D106" s="38" t="s">
        <v>81</v>
      </c>
      <c r="E106" s="38">
        <v>30</v>
      </c>
      <c r="F106" s="39">
        <v>3500</v>
      </c>
      <c r="G106" s="40">
        <f t="shared" si="1"/>
        <v>105000</v>
      </c>
      <c r="H106" s="41">
        <v>43177</v>
      </c>
      <c r="I106" s="42"/>
      <c r="L106" s="44"/>
    </row>
    <row r="107" spans="1:12" x14ac:dyDescent="0.3">
      <c r="A107" s="38" t="s">
        <v>106</v>
      </c>
      <c r="B107" s="38" t="s">
        <v>107</v>
      </c>
      <c r="C107" s="38" t="s">
        <v>76</v>
      </c>
      <c r="D107" s="38" t="s">
        <v>77</v>
      </c>
      <c r="E107" s="38">
        <v>20</v>
      </c>
      <c r="F107" s="39">
        <v>1000</v>
      </c>
      <c r="G107" s="40">
        <f t="shared" si="1"/>
        <v>20000</v>
      </c>
      <c r="H107" s="41">
        <v>43306</v>
      </c>
      <c r="I107" s="42"/>
    </row>
    <row r="108" spans="1:12" x14ac:dyDescent="0.3">
      <c r="A108" s="38" t="s">
        <v>106</v>
      </c>
      <c r="B108" s="38" t="s">
        <v>108</v>
      </c>
      <c r="C108" s="38" t="s">
        <v>99</v>
      </c>
      <c r="D108" s="38" t="s">
        <v>93</v>
      </c>
      <c r="E108" s="38">
        <v>15</v>
      </c>
      <c r="F108" s="39">
        <v>650</v>
      </c>
      <c r="G108" s="40">
        <f t="shared" si="1"/>
        <v>9750</v>
      </c>
      <c r="H108" s="41">
        <v>43307</v>
      </c>
      <c r="I108" s="42"/>
    </row>
    <row r="109" spans="1:12" x14ac:dyDescent="0.3">
      <c r="A109" s="38" t="s">
        <v>106</v>
      </c>
      <c r="B109" s="38" t="s">
        <v>102</v>
      </c>
      <c r="C109" s="38" t="s">
        <v>80</v>
      </c>
      <c r="D109" s="38" t="s">
        <v>77</v>
      </c>
      <c r="E109" s="38">
        <v>5</v>
      </c>
      <c r="F109" s="39">
        <v>500</v>
      </c>
      <c r="G109" s="40">
        <f t="shared" si="1"/>
        <v>2500</v>
      </c>
      <c r="H109" s="41">
        <v>43226</v>
      </c>
      <c r="I109" s="42"/>
    </row>
    <row r="110" spans="1:12" x14ac:dyDescent="0.3">
      <c r="A110" s="38" t="s">
        <v>106</v>
      </c>
      <c r="B110" s="38" t="s">
        <v>102</v>
      </c>
      <c r="C110" s="38" t="s">
        <v>92</v>
      </c>
      <c r="D110" s="38" t="s">
        <v>93</v>
      </c>
      <c r="E110" s="38">
        <v>5</v>
      </c>
      <c r="F110" s="39">
        <v>600</v>
      </c>
      <c r="G110" s="40">
        <f t="shared" si="1"/>
        <v>3000</v>
      </c>
      <c r="H110" s="41">
        <v>43302</v>
      </c>
      <c r="I110" s="42"/>
    </row>
    <row r="111" spans="1:12" x14ac:dyDescent="0.3">
      <c r="A111" s="38" t="s">
        <v>106</v>
      </c>
      <c r="B111" s="38" t="s">
        <v>102</v>
      </c>
      <c r="C111" s="38" t="s">
        <v>80</v>
      </c>
      <c r="D111" s="38" t="s">
        <v>77</v>
      </c>
      <c r="E111" s="38">
        <v>10</v>
      </c>
      <c r="F111" s="39">
        <v>500</v>
      </c>
      <c r="G111" s="40">
        <f t="shared" si="1"/>
        <v>5000</v>
      </c>
      <c r="H111" s="41">
        <v>43308</v>
      </c>
      <c r="I111" s="42"/>
    </row>
    <row r="112" spans="1:12" x14ac:dyDescent="0.3">
      <c r="A112" s="38" t="s">
        <v>106</v>
      </c>
      <c r="B112" s="38" t="s">
        <v>102</v>
      </c>
      <c r="C112" s="38" t="s">
        <v>92</v>
      </c>
      <c r="D112" s="38" t="s">
        <v>93</v>
      </c>
      <c r="E112" s="38">
        <v>10</v>
      </c>
      <c r="F112" s="39">
        <v>600</v>
      </c>
      <c r="G112" s="40">
        <f t="shared" si="1"/>
        <v>6000</v>
      </c>
      <c r="H112" s="41">
        <v>43309</v>
      </c>
      <c r="I112" s="42"/>
    </row>
    <row r="113" spans="1:9" x14ac:dyDescent="0.3">
      <c r="A113" s="38" t="s">
        <v>106</v>
      </c>
      <c r="B113" s="38" t="s">
        <v>108</v>
      </c>
      <c r="C113" s="38" t="s">
        <v>99</v>
      </c>
      <c r="D113" s="38" t="s">
        <v>93</v>
      </c>
      <c r="E113" s="38">
        <v>10</v>
      </c>
      <c r="F113" s="39">
        <v>650</v>
      </c>
      <c r="G113" s="40">
        <f t="shared" si="1"/>
        <v>6500</v>
      </c>
      <c r="H113" s="41">
        <v>43405</v>
      </c>
      <c r="I113" s="42"/>
    </row>
    <row r="114" spans="1:9" x14ac:dyDescent="0.3">
      <c r="A114" s="38" t="s">
        <v>106</v>
      </c>
      <c r="B114" s="38" t="s">
        <v>107</v>
      </c>
      <c r="C114" s="38" t="s">
        <v>76</v>
      </c>
      <c r="D114" s="38" t="s">
        <v>77</v>
      </c>
      <c r="E114" s="38">
        <v>15</v>
      </c>
      <c r="F114" s="39">
        <v>1000</v>
      </c>
      <c r="G114" s="40">
        <f t="shared" si="1"/>
        <v>15000</v>
      </c>
      <c r="H114" s="41">
        <v>43417</v>
      </c>
      <c r="I114" s="42"/>
    </row>
    <row r="115" spans="1:9" x14ac:dyDescent="0.3">
      <c r="A115" s="38" t="s">
        <v>106</v>
      </c>
      <c r="B115" s="38" t="s">
        <v>108</v>
      </c>
      <c r="C115" s="38" t="s">
        <v>99</v>
      </c>
      <c r="D115" s="38" t="s">
        <v>93</v>
      </c>
      <c r="E115" s="38">
        <v>15</v>
      </c>
      <c r="F115" s="39">
        <v>650</v>
      </c>
      <c r="G115" s="40">
        <f t="shared" si="1"/>
        <v>9750</v>
      </c>
      <c r="H115" s="41">
        <v>43104</v>
      </c>
      <c r="I115" s="42"/>
    </row>
    <row r="116" spans="1:9" x14ac:dyDescent="0.3">
      <c r="A116" s="38" t="s">
        <v>106</v>
      </c>
      <c r="B116" s="38" t="s">
        <v>102</v>
      </c>
      <c r="C116" s="38" t="s">
        <v>80</v>
      </c>
      <c r="D116" s="38" t="s">
        <v>77</v>
      </c>
      <c r="E116" s="38">
        <v>10</v>
      </c>
      <c r="F116" s="39">
        <v>500</v>
      </c>
      <c r="G116" s="40">
        <f t="shared" si="1"/>
        <v>5000</v>
      </c>
      <c r="H116" s="41">
        <v>43105</v>
      </c>
      <c r="I116" s="42"/>
    </row>
    <row r="117" spans="1:9" x14ac:dyDescent="0.3">
      <c r="A117" s="38" t="s">
        <v>106</v>
      </c>
      <c r="B117" s="38" t="s">
        <v>102</v>
      </c>
      <c r="C117" s="38" t="s">
        <v>92</v>
      </c>
      <c r="D117" s="38" t="s">
        <v>93</v>
      </c>
      <c r="E117" s="38">
        <v>10</v>
      </c>
      <c r="F117" s="39">
        <v>600</v>
      </c>
      <c r="G117" s="40">
        <f t="shared" si="1"/>
        <v>6000</v>
      </c>
      <c r="H117" s="41">
        <v>43106</v>
      </c>
      <c r="I117" s="42"/>
    </row>
    <row r="118" spans="1:9" x14ac:dyDescent="0.3">
      <c r="A118" s="38" t="s">
        <v>106</v>
      </c>
      <c r="B118" s="38" t="s">
        <v>107</v>
      </c>
      <c r="C118" s="38" t="s">
        <v>76</v>
      </c>
      <c r="D118" s="38" t="s">
        <v>77</v>
      </c>
      <c r="E118" s="38">
        <v>20</v>
      </c>
      <c r="F118" s="39">
        <v>1000</v>
      </c>
      <c r="G118" s="40">
        <f t="shared" si="1"/>
        <v>20000</v>
      </c>
      <c r="H118" s="41">
        <v>43134</v>
      </c>
      <c r="I118" s="42"/>
    </row>
  </sheetData>
  <autoFilter ref="A1:I118">
    <sortState ref="A2:I118">
      <sortCondition ref="A1:A118"/>
    </sortState>
  </autoFilter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workbookViewId="0">
      <selection activeCell="F17" sqref="F17"/>
    </sheetView>
  </sheetViews>
  <sheetFormatPr defaultColWidth="9.109375" defaultRowHeight="14.4" x14ac:dyDescent="0.3"/>
  <cols>
    <col min="1" max="1" width="15.109375" style="15" customWidth="1"/>
    <col min="2" max="4" width="23.33203125" style="15" customWidth="1"/>
    <col min="5" max="5" width="37.44140625" style="15" customWidth="1"/>
    <col min="6" max="6" width="14.88671875" style="15" customWidth="1"/>
    <col min="7" max="12" width="9.109375" style="15"/>
    <col min="13" max="13" width="10.109375" style="15" bestFit="1" customWidth="1"/>
    <col min="14" max="16384" width="9.109375" style="15"/>
  </cols>
  <sheetData>
    <row r="1" spans="1:11" x14ac:dyDescent="0.3">
      <c r="A1" s="13" t="s">
        <v>8</v>
      </c>
      <c r="B1" s="13" t="s">
        <v>9</v>
      </c>
      <c r="C1" s="13" t="s">
        <v>61</v>
      </c>
      <c r="D1" s="14" t="s">
        <v>62</v>
      </c>
      <c r="E1" s="14" t="s">
        <v>63</v>
      </c>
      <c r="F1" s="15">
        <v>20</v>
      </c>
    </row>
    <row r="2" spans="1:11" ht="15.6" x14ac:dyDescent="0.3">
      <c r="A2" s="17" t="s">
        <v>15</v>
      </c>
      <c r="B2" s="18" t="s">
        <v>16</v>
      </c>
      <c r="C2" s="28">
        <v>37459</v>
      </c>
      <c r="D2" s="18"/>
      <c r="E2" s="29"/>
      <c r="K2" s="15" t="str">
        <f>SUBSTITUTE(B2," ","")</f>
        <v>BaşakTÜRKAN</v>
      </c>
    </row>
    <row r="3" spans="1:11" ht="15.6" x14ac:dyDescent="0.3">
      <c r="A3" s="30" t="s">
        <v>17</v>
      </c>
      <c r="B3" s="23" t="s">
        <v>18</v>
      </c>
      <c r="C3" s="31">
        <v>37338</v>
      </c>
      <c r="D3" s="18"/>
      <c r="E3" s="29"/>
    </row>
    <row r="4" spans="1:11" ht="15.6" x14ac:dyDescent="0.3">
      <c r="A4" s="17" t="s">
        <v>19</v>
      </c>
      <c r="B4" s="18" t="s">
        <v>20</v>
      </c>
      <c r="C4" s="28">
        <v>37280</v>
      </c>
      <c r="D4" s="18"/>
      <c r="E4" s="29"/>
    </row>
    <row r="5" spans="1:11" ht="15.6" x14ac:dyDescent="0.3">
      <c r="A5" s="30" t="s">
        <v>21</v>
      </c>
      <c r="B5" s="23" t="s">
        <v>22</v>
      </c>
      <c r="C5" s="31">
        <v>37462</v>
      </c>
      <c r="D5" s="18"/>
      <c r="E5" s="29"/>
    </row>
    <row r="6" spans="1:11" ht="15.6" x14ac:dyDescent="0.3">
      <c r="A6" s="17" t="s">
        <v>23</v>
      </c>
      <c r="B6" s="18" t="s">
        <v>24</v>
      </c>
      <c r="C6" s="28">
        <v>37372</v>
      </c>
      <c r="D6" s="18"/>
      <c r="E6" s="29"/>
    </row>
    <row r="7" spans="1:11" ht="15.6" x14ac:dyDescent="0.3">
      <c r="A7" s="30" t="s">
        <v>25</v>
      </c>
      <c r="B7" s="23" t="s">
        <v>26</v>
      </c>
      <c r="C7" s="31">
        <v>37466</v>
      </c>
      <c r="D7" s="18"/>
      <c r="E7" s="29"/>
    </row>
    <row r="8" spans="1:11" ht="15.6" x14ac:dyDescent="0.3">
      <c r="A8" s="17" t="s">
        <v>27</v>
      </c>
      <c r="B8" s="18" t="s">
        <v>28</v>
      </c>
      <c r="C8" s="28">
        <v>37467</v>
      </c>
      <c r="D8" s="18"/>
      <c r="E8" s="29"/>
    </row>
    <row r="9" spans="1:11" ht="15.6" x14ac:dyDescent="0.3">
      <c r="A9" s="30" t="s">
        <v>29</v>
      </c>
      <c r="B9" s="23" t="s">
        <v>30</v>
      </c>
      <c r="C9" s="31">
        <v>37468</v>
      </c>
      <c r="D9" s="18"/>
      <c r="E9" s="29"/>
    </row>
    <row r="10" spans="1:11" ht="15.6" x14ac:dyDescent="0.3">
      <c r="A10" s="17" t="s">
        <v>31</v>
      </c>
      <c r="B10" s="18" t="s">
        <v>32</v>
      </c>
      <c r="C10" s="28">
        <v>37469</v>
      </c>
      <c r="D10" s="18"/>
      <c r="E10" s="29"/>
    </row>
    <row r="11" spans="1:11" ht="15.6" x14ac:dyDescent="0.3">
      <c r="A11" s="30" t="s">
        <v>33</v>
      </c>
      <c r="B11" s="23" t="s">
        <v>34</v>
      </c>
      <c r="C11" s="31">
        <v>37562</v>
      </c>
      <c r="D11" s="18"/>
      <c r="E11" s="29"/>
    </row>
    <row r="12" spans="1:11" ht="15.6" x14ac:dyDescent="0.3">
      <c r="A12" s="17" t="s">
        <v>35</v>
      </c>
      <c r="B12" s="18" t="s">
        <v>36</v>
      </c>
      <c r="C12" s="28">
        <v>37593</v>
      </c>
      <c r="D12" s="18"/>
      <c r="E12" s="29"/>
    </row>
    <row r="13" spans="1:11" ht="15.6" x14ac:dyDescent="0.3">
      <c r="A13" s="30" t="s">
        <v>38</v>
      </c>
      <c r="B13" s="23" t="s">
        <v>39</v>
      </c>
      <c r="C13" s="31">
        <v>37411</v>
      </c>
      <c r="D13" s="18"/>
      <c r="E13" s="29"/>
    </row>
    <row r="14" spans="1:11" ht="15.6" x14ac:dyDescent="0.3">
      <c r="A14" s="17" t="s">
        <v>40</v>
      </c>
      <c r="B14" s="18" t="s">
        <v>41</v>
      </c>
      <c r="C14" s="28">
        <v>37442</v>
      </c>
      <c r="D14" s="18"/>
      <c r="E14" s="29"/>
    </row>
    <row r="15" spans="1:11" ht="15.6" x14ac:dyDescent="0.3">
      <c r="A15" s="30" t="s">
        <v>42</v>
      </c>
      <c r="B15" s="23" t="s">
        <v>43</v>
      </c>
      <c r="C15" s="31">
        <v>37294</v>
      </c>
      <c r="D15" s="18"/>
      <c r="E15" s="29"/>
    </row>
    <row r="16" spans="1:11" ht="15.6" x14ac:dyDescent="0.3">
      <c r="A16" s="17" t="s">
        <v>44</v>
      </c>
      <c r="B16" s="18" t="s">
        <v>45</v>
      </c>
      <c r="C16" s="28">
        <v>37264</v>
      </c>
      <c r="D16" s="18"/>
      <c r="E16" s="29"/>
    </row>
    <row r="17" spans="1:5" ht="15.6" x14ac:dyDescent="0.3">
      <c r="A17" s="30" t="s">
        <v>46</v>
      </c>
      <c r="B17" s="23" t="s">
        <v>47</v>
      </c>
      <c r="C17" s="28">
        <v>37459</v>
      </c>
      <c r="D17" s="18"/>
      <c r="E17" s="29"/>
    </row>
    <row r="18" spans="1:5" ht="15.6" x14ac:dyDescent="0.3">
      <c r="A18" s="17" t="s">
        <v>48</v>
      </c>
      <c r="B18" s="18" t="s">
        <v>49</v>
      </c>
      <c r="C18" s="31">
        <v>37338</v>
      </c>
      <c r="D18" s="18"/>
      <c r="E18" s="29"/>
    </row>
    <row r="19" spans="1:5" ht="15.6" x14ac:dyDescent="0.3">
      <c r="A19" s="30" t="s">
        <v>50</v>
      </c>
      <c r="B19" s="23" t="s">
        <v>51</v>
      </c>
      <c r="C19" s="28">
        <v>37280</v>
      </c>
      <c r="D19" s="18"/>
      <c r="E19" s="29"/>
    </row>
    <row r="20" spans="1:5" ht="15.6" x14ac:dyDescent="0.3">
      <c r="A20" s="17" t="s">
        <v>52</v>
      </c>
      <c r="B20" s="18" t="s">
        <v>53</v>
      </c>
      <c r="C20" s="31">
        <v>37462</v>
      </c>
      <c r="D20" s="18"/>
      <c r="E20" s="29"/>
    </row>
    <row r="21" spans="1:5" ht="15.6" x14ac:dyDescent="0.3">
      <c r="A21" s="30" t="s">
        <v>54</v>
      </c>
      <c r="B21" s="23" t="s">
        <v>55</v>
      </c>
      <c r="C21" s="28">
        <v>37372</v>
      </c>
      <c r="D21" s="18"/>
      <c r="E21" s="29"/>
    </row>
    <row r="22" spans="1:5" ht="15.6" x14ac:dyDescent="0.3">
      <c r="A22" s="17" t="s">
        <v>56</v>
      </c>
      <c r="B22" s="18" t="s">
        <v>57</v>
      </c>
      <c r="C22" s="31">
        <v>37466</v>
      </c>
      <c r="D22" s="18"/>
      <c r="E22" s="29"/>
    </row>
    <row r="23" spans="1:5" ht="15.6" x14ac:dyDescent="0.3">
      <c r="A23" s="32" t="s">
        <v>58</v>
      </c>
      <c r="B23" s="26" t="s">
        <v>59</v>
      </c>
      <c r="C23" s="28">
        <v>37467</v>
      </c>
      <c r="D23" s="18"/>
      <c r="E23" s="29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"/>
  <sheetViews>
    <sheetView zoomScale="145" zoomScaleNormal="145" workbookViewId="0">
      <selection activeCell="G8" sqref="G8"/>
    </sheetView>
  </sheetViews>
  <sheetFormatPr defaultRowHeight="14.4" x14ac:dyDescent="0.3"/>
  <cols>
    <col min="1" max="1" width="15.6640625" customWidth="1"/>
    <col min="2" max="2" width="6.44140625" customWidth="1"/>
    <col min="3" max="3" width="12.6640625" customWidth="1"/>
    <col min="6" max="6" width="13.5546875" customWidth="1"/>
    <col min="7" max="7" width="8.33203125" customWidth="1"/>
    <col min="8" max="11" width="8.109375" bestFit="1" customWidth="1"/>
    <col min="12" max="12" width="9.109375" customWidth="1"/>
  </cols>
  <sheetData>
    <row r="2" spans="1:15" x14ac:dyDescent="0.3">
      <c r="A2" s="1" t="s">
        <v>0</v>
      </c>
      <c r="B2" s="2">
        <v>100</v>
      </c>
      <c r="H2" s="49" t="s">
        <v>1</v>
      </c>
      <c r="I2" s="49"/>
      <c r="J2" s="49"/>
      <c r="K2" s="49"/>
      <c r="N2" s="3"/>
      <c r="O2" s="3"/>
    </row>
    <row r="3" spans="1:15" x14ac:dyDescent="0.3">
      <c r="G3" s="4"/>
      <c r="H3" s="5">
        <v>40</v>
      </c>
      <c r="I3" s="5">
        <v>30</v>
      </c>
      <c r="J3" s="5">
        <v>25</v>
      </c>
      <c r="K3" s="5">
        <v>20</v>
      </c>
      <c r="N3" s="3"/>
      <c r="O3" s="3"/>
    </row>
    <row r="4" spans="1:15" x14ac:dyDescent="0.3">
      <c r="A4" s="6"/>
      <c r="B4" s="7" t="s">
        <v>2</v>
      </c>
      <c r="C4" s="7" t="s">
        <v>3</v>
      </c>
      <c r="F4" s="50" t="s">
        <v>4</v>
      </c>
      <c r="G4" s="8">
        <v>0.6</v>
      </c>
      <c r="H4" s="9"/>
      <c r="I4" s="9"/>
      <c r="J4" s="9"/>
      <c r="K4" s="9"/>
      <c r="N4" s="3"/>
      <c r="O4" s="3"/>
    </row>
    <row r="5" spans="1:15" x14ac:dyDescent="0.3">
      <c r="A5" s="6" t="s">
        <v>5</v>
      </c>
      <c r="B5" s="5">
        <v>50</v>
      </c>
      <c r="C5" s="8"/>
      <c r="E5" s="10"/>
      <c r="F5" s="50"/>
      <c r="G5" s="8">
        <v>0.7</v>
      </c>
      <c r="H5" s="9"/>
      <c r="I5" s="9"/>
      <c r="J5" s="9"/>
      <c r="K5" s="9"/>
      <c r="M5" s="10"/>
    </row>
    <row r="6" spans="1:15" x14ac:dyDescent="0.3">
      <c r="A6" s="6" t="s">
        <v>6</v>
      </c>
      <c r="B6" s="5">
        <v>30</v>
      </c>
      <c r="C6" s="8"/>
      <c r="F6" s="50"/>
      <c r="G6" s="8">
        <v>0.8</v>
      </c>
      <c r="H6" s="9"/>
      <c r="I6" s="9"/>
      <c r="J6" s="9"/>
      <c r="K6" s="9"/>
      <c r="M6" s="10"/>
    </row>
    <row r="7" spans="1:15" x14ac:dyDescent="0.3">
      <c r="A7" s="11" t="s">
        <v>7</v>
      </c>
      <c r="B7" s="5"/>
      <c r="C7" s="12"/>
      <c r="F7" s="50"/>
      <c r="G7" s="8">
        <v>1</v>
      </c>
      <c r="H7" s="9"/>
      <c r="I7" s="9"/>
      <c r="J7" s="9"/>
      <c r="K7" s="9"/>
    </row>
    <row r="13" spans="1:15" ht="15" customHeight="1" x14ac:dyDescent="0.3"/>
  </sheetData>
  <mergeCells count="2">
    <mergeCell ref="H2:K2"/>
    <mergeCell ref="F4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SORU1</vt:lpstr>
      <vt:lpstr>SORU2</vt:lpstr>
      <vt:lpstr>SORU3</vt:lpstr>
      <vt:lpstr>SORU4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Mehmet</cp:lastModifiedBy>
  <dcterms:created xsi:type="dcterms:W3CDTF">2024-10-21T11:45:23Z</dcterms:created>
  <dcterms:modified xsi:type="dcterms:W3CDTF">2025-12-21T14:52:11Z</dcterms:modified>
</cp:coreProperties>
</file>