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hmet\Downloads\dashboardlar\Yeni klasör\"/>
    </mc:Choice>
  </mc:AlternateContent>
  <bookViews>
    <workbookView xWindow="0" yWindow="1560" windowWidth="20400" windowHeight="7956"/>
  </bookViews>
  <sheets>
    <sheet name="Data" sheetId="1" r:id="rId1"/>
    <sheet name="Çalışanlar" sheetId="4" state="hidden" r:id="rId2"/>
    <sheet name="Hesap" sheetId="2" state="hidden" r:id="rId3"/>
    <sheet name="Dashboard" sheetId="3" state="hidden" r:id="rId4"/>
  </sheets>
  <definedNames>
    <definedName name="Resim">INDEX(Çalışanlar!$A$2:$A$5,Çalışanlar!$H$1)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2" l="1"/>
  <c r="P3" i="2"/>
  <c r="G2" i="2"/>
  <c r="C3" i="2"/>
  <c r="C2" i="2"/>
  <c r="A27" i="1" l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" i="1"/>
  <c r="M4" i="2" l="1"/>
  <c r="M8" i="2"/>
  <c r="M12" i="2"/>
  <c r="M11" i="2"/>
  <c r="M5" i="2"/>
  <c r="M9" i="2"/>
  <c r="M13" i="2"/>
  <c r="M3" i="2"/>
  <c r="M6" i="2"/>
  <c r="M10" i="2"/>
  <c r="M14" i="2"/>
  <c r="M7" i="2"/>
  <c r="D4" i="2"/>
  <c r="P14" i="2" l="1"/>
  <c r="Q14" i="2"/>
  <c r="O14" i="2"/>
  <c r="Q13" i="2"/>
  <c r="O13" i="2"/>
  <c r="P13" i="2"/>
  <c r="Q12" i="2"/>
  <c r="O12" i="2"/>
  <c r="P12" i="2"/>
  <c r="P10" i="2"/>
  <c r="Q10" i="2"/>
  <c r="O10" i="2"/>
  <c r="Q9" i="2"/>
  <c r="O9" i="2"/>
  <c r="P9" i="2"/>
  <c r="Q8" i="2"/>
  <c r="O8" i="2"/>
  <c r="P8" i="2"/>
  <c r="P6" i="2"/>
  <c r="Q6" i="2"/>
  <c r="O6" i="2"/>
  <c r="Q5" i="2"/>
  <c r="O5" i="2"/>
  <c r="P5" i="2"/>
  <c r="Q4" i="2"/>
  <c r="O4" i="2"/>
  <c r="P4" i="2"/>
  <c r="P7" i="2"/>
  <c r="Q7" i="2"/>
  <c r="O7" i="2"/>
  <c r="O3" i="2"/>
  <c r="P11" i="2"/>
  <c r="Q11" i="2"/>
  <c r="O11" i="2"/>
  <c r="J4" i="2"/>
  <c r="K4" i="2" s="1"/>
  <c r="J2" i="2"/>
  <c r="K2" i="2" s="1"/>
  <c r="J3" i="2"/>
  <c r="K3" i="2" s="1"/>
  <c r="G4" i="2"/>
  <c r="H4" i="2" s="1"/>
  <c r="G3" i="2"/>
  <c r="H3" i="2" s="1"/>
  <c r="H2" i="2"/>
</calcChain>
</file>

<file path=xl/sharedStrings.xml><?xml version="1.0" encoding="utf-8"?>
<sst xmlns="http://schemas.openxmlformats.org/spreadsheetml/2006/main" count="210" uniqueCount="33">
  <si>
    <t>ID</t>
  </si>
  <si>
    <t>Ay</t>
  </si>
  <si>
    <t>Bölge</t>
  </si>
  <si>
    <t>HD</t>
  </si>
  <si>
    <t>Kalite</t>
  </si>
  <si>
    <t>Verimlilik</t>
  </si>
  <si>
    <t>Çalışanlar</t>
  </si>
  <si>
    <t>Oca</t>
  </si>
  <si>
    <t>Doğu</t>
  </si>
  <si>
    <t>Emp1</t>
  </si>
  <si>
    <t>service Level</t>
  </si>
  <si>
    <t>Batı</t>
  </si>
  <si>
    <t>Emp2</t>
  </si>
  <si>
    <t>Hizmet Düzeyi</t>
  </si>
  <si>
    <t>Kuzey</t>
  </si>
  <si>
    <t>Emp3</t>
  </si>
  <si>
    <t>Güney</t>
  </si>
  <si>
    <t>Emp4</t>
  </si>
  <si>
    <t>Şub</t>
  </si>
  <si>
    <t>Mar</t>
  </si>
  <si>
    <t>Nis</t>
  </si>
  <si>
    <t>May</t>
  </si>
  <si>
    <t>Haz</t>
  </si>
  <si>
    <t>Tem</t>
  </si>
  <si>
    <t>Ağu</t>
  </si>
  <si>
    <t>Eyl</t>
  </si>
  <si>
    <t>Eki</t>
  </si>
  <si>
    <t>Kas</t>
  </si>
  <si>
    <t>Ara</t>
  </si>
  <si>
    <t>Resim</t>
  </si>
  <si>
    <t>Toplam HD</t>
  </si>
  <si>
    <t>Toplam Kalite</t>
  </si>
  <si>
    <t>Toplam Verimlilik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</si>
</sst>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indexed="9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rgb="FF000000"/>
      <name val="Segoe UI"/>
      <family val="2"/>
      <charset val="16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9" fontId="0" fillId="0" borderId="0" xfId="1" applyFont="1"/>
    <xf numFmtId="9" fontId="0" fillId="0" borderId="0" xfId="0" applyNumberFormat="1"/>
    <xf numFmtId="0" fontId="3" fillId="2" borderId="3" xfId="0" applyFont="1" applyFill="1" applyBorder="1" applyAlignment="1">
      <alignment horizontal="center" vertical="center"/>
    </xf>
    <xf numFmtId="0" fontId="0" fillId="0" borderId="3" xfId="0" applyBorder="1"/>
    <xf numFmtId="9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3" borderId="0" xfId="0" applyFill="1"/>
    <xf numFmtId="0" fontId="2" fillId="3" borderId="0" xfId="0" applyFont="1" applyFill="1"/>
  </cellXfs>
  <cellStyles count="3">
    <cellStyle name="Normal" xfId="0" builtinId="0"/>
    <cellStyle name="Yüzde" xfId="1" builtinId="5"/>
    <cellStyle name="Yüzde 2" xfId="2"/>
  </cellStyles>
  <dxfs count="0"/>
  <tableStyles count="0" defaultTableStyle="TableStyleMedium2" defaultPivotStyle="PivotStyleLight16"/>
  <colors>
    <mruColors>
      <color rgb="FFB4A9CF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Hesap!$F$2</c:f>
              <c:strCache>
                <c:ptCount val="1"/>
                <c:pt idx="0">
                  <c:v>HD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  <a:alpha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59-4F59-819E-FCD1A569278F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59-4F59-819E-FCD1A569278F}"/>
              </c:ext>
            </c:extLst>
          </c:dPt>
          <c:val>
            <c:numRef>
              <c:f>Hesap!$G$2:$H$2</c:f>
              <c:numCache>
                <c:formatCode>0%</c:formatCode>
                <c:ptCount val="2"/>
                <c:pt idx="0">
                  <c:v>0.43</c:v>
                </c:pt>
                <c:pt idx="1">
                  <c:v>0.57000000000000006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59-4F59-819E-FCD1A5692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>
                    <a:lumMod val="95000"/>
                  </a:schemeClr>
                </a:solidFill>
              </a:rPr>
              <a:t>Kalite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Hesap!$F$3</c:f>
              <c:strCache>
                <c:ptCount val="1"/>
                <c:pt idx="0">
                  <c:v>Kalite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rgbClr val="B4A9CF">
                  <a:alpha val="60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A1-45F6-B4DC-F445086E8632}"/>
              </c:ext>
            </c:extLst>
          </c:dPt>
          <c:dPt>
            <c:idx val="1"/>
            <c:bubble3D val="0"/>
            <c:spPr>
              <a:solidFill>
                <a:srgbClr val="B4A9C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A1-45F6-B4DC-F445086E8632}"/>
              </c:ext>
            </c:extLst>
          </c:dPt>
          <c:val>
            <c:numRef>
              <c:f>Hesap!$G$3:$H$3</c:f>
              <c:numCache>
                <c:formatCode>0%</c:formatCode>
                <c:ptCount val="2"/>
                <c:pt idx="0">
                  <c:v>0.67</c:v>
                </c:pt>
                <c:pt idx="1">
                  <c:v>0.32999999999999996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A1-45F6-B4DC-F445086E8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7030A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Verimlilik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Hesap!$F$4</c:f>
              <c:strCache>
                <c:ptCount val="1"/>
                <c:pt idx="0">
                  <c:v>Verimlilik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  <a:alpha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82-4D5A-94D7-807DC946E1EA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82-4D5A-94D7-807DC946E1EA}"/>
              </c:ext>
            </c:extLst>
          </c:dPt>
          <c:val>
            <c:numRef>
              <c:f>Hesap!$G$4:$H$4</c:f>
              <c:numCache>
                <c:formatCode>0%</c:formatCode>
                <c:ptCount val="2"/>
                <c:pt idx="0">
                  <c:v>0.43</c:v>
                </c:pt>
                <c:pt idx="1">
                  <c:v>0.57000000000000006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82-4D5A-94D7-807DC946E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1"/>
          <c:tx>
            <c:strRef>
              <c:f>Hesap!$P$2</c:f>
              <c:strCache>
                <c:ptCount val="1"/>
                <c:pt idx="0">
                  <c:v>Kalite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Hesap!$N$3:$N$14</c:f>
              <c:strCache>
                <c:ptCount val="12"/>
                <c:pt idx="0">
                  <c:v>Oca</c:v>
                </c:pt>
                <c:pt idx="1">
                  <c:v>Şub</c:v>
                </c:pt>
                <c:pt idx="2">
                  <c:v>Mar</c:v>
                </c:pt>
                <c:pt idx="3">
                  <c:v>Nis</c:v>
                </c:pt>
                <c:pt idx="4">
                  <c:v>May</c:v>
                </c:pt>
                <c:pt idx="5">
                  <c:v>Haz</c:v>
                </c:pt>
                <c:pt idx="6">
                  <c:v>Tem</c:v>
                </c:pt>
                <c:pt idx="7">
                  <c:v>Ağu</c:v>
                </c:pt>
                <c:pt idx="8">
                  <c:v>Eyl</c:v>
                </c:pt>
                <c:pt idx="9">
                  <c:v>Eki</c:v>
                </c:pt>
                <c:pt idx="10">
                  <c:v>Kas</c:v>
                </c:pt>
                <c:pt idx="11">
                  <c:v>Ara</c:v>
                </c:pt>
              </c:strCache>
            </c:strRef>
          </c:cat>
          <c:val>
            <c:numRef>
              <c:f>Hesap!$P$3:$P$14</c:f>
              <c:numCache>
                <c:formatCode>0%</c:formatCode>
                <c:ptCount val="12"/>
                <c:pt idx="0">
                  <c:v>0.59</c:v>
                </c:pt>
                <c:pt idx="1">
                  <c:v>0.49</c:v>
                </c:pt>
                <c:pt idx="2">
                  <c:v>0.45</c:v>
                </c:pt>
                <c:pt idx="3">
                  <c:v>0.67</c:v>
                </c:pt>
                <c:pt idx="4">
                  <c:v>0.66</c:v>
                </c:pt>
                <c:pt idx="5">
                  <c:v>0.7</c:v>
                </c:pt>
                <c:pt idx="6">
                  <c:v>0.33</c:v>
                </c:pt>
                <c:pt idx="7">
                  <c:v>0.39</c:v>
                </c:pt>
                <c:pt idx="8">
                  <c:v>0.36</c:v>
                </c:pt>
                <c:pt idx="9">
                  <c:v>0.38</c:v>
                </c:pt>
                <c:pt idx="10">
                  <c:v>0.38</c:v>
                </c:pt>
                <c:pt idx="11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6-4708-BDD9-74C3B9F47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064464"/>
        <c:axId val="404959632"/>
      </c:areaChart>
      <c:barChart>
        <c:barDir val="col"/>
        <c:grouping val="clustered"/>
        <c:varyColors val="0"/>
        <c:ser>
          <c:idx val="0"/>
          <c:order val="0"/>
          <c:tx>
            <c:strRef>
              <c:f>Hesap!$O$2</c:f>
              <c:strCache>
                <c:ptCount val="1"/>
                <c:pt idx="0">
                  <c:v>HD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Hesap!$N$3:$N$14</c:f>
              <c:strCache>
                <c:ptCount val="12"/>
                <c:pt idx="0">
                  <c:v>Oca</c:v>
                </c:pt>
                <c:pt idx="1">
                  <c:v>Şub</c:v>
                </c:pt>
                <c:pt idx="2">
                  <c:v>Mar</c:v>
                </c:pt>
                <c:pt idx="3">
                  <c:v>Nis</c:v>
                </c:pt>
                <c:pt idx="4">
                  <c:v>May</c:v>
                </c:pt>
                <c:pt idx="5">
                  <c:v>Haz</c:v>
                </c:pt>
                <c:pt idx="6">
                  <c:v>Tem</c:v>
                </c:pt>
                <c:pt idx="7">
                  <c:v>Ağu</c:v>
                </c:pt>
                <c:pt idx="8">
                  <c:v>Eyl</c:v>
                </c:pt>
                <c:pt idx="9">
                  <c:v>Eki</c:v>
                </c:pt>
                <c:pt idx="10">
                  <c:v>Kas</c:v>
                </c:pt>
                <c:pt idx="11">
                  <c:v>Ara</c:v>
                </c:pt>
              </c:strCache>
            </c:strRef>
          </c:cat>
          <c:val>
            <c:numRef>
              <c:f>Hesap!$O$3:$O$14</c:f>
              <c:numCache>
                <c:formatCode>0%</c:formatCode>
                <c:ptCount val="12"/>
                <c:pt idx="0">
                  <c:v>0.7</c:v>
                </c:pt>
                <c:pt idx="1">
                  <c:v>0.69</c:v>
                </c:pt>
                <c:pt idx="2">
                  <c:v>0.41</c:v>
                </c:pt>
                <c:pt idx="3">
                  <c:v>0.43</c:v>
                </c:pt>
                <c:pt idx="4">
                  <c:v>0.36</c:v>
                </c:pt>
                <c:pt idx="5">
                  <c:v>0.3</c:v>
                </c:pt>
                <c:pt idx="6">
                  <c:v>0.69</c:v>
                </c:pt>
                <c:pt idx="7">
                  <c:v>0.79</c:v>
                </c:pt>
                <c:pt idx="8">
                  <c:v>0.3</c:v>
                </c:pt>
                <c:pt idx="9">
                  <c:v>0.39</c:v>
                </c:pt>
                <c:pt idx="10">
                  <c:v>0.68</c:v>
                </c:pt>
                <c:pt idx="11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86-4708-BDD9-74C3B9F47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64064464"/>
        <c:axId val="404959632"/>
      </c:barChart>
      <c:lineChart>
        <c:grouping val="stacked"/>
        <c:varyColors val="0"/>
        <c:ser>
          <c:idx val="2"/>
          <c:order val="2"/>
          <c:tx>
            <c:strRef>
              <c:f>Hesap!$Q$2</c:f>
              <c:strCache>
                <c:ptCount val="1"/>
                <c:pt idx="0">
                  <c:v>Verimlilik</c:v>
                </c:pt>
              </c:strCache>
            </c:strRef>
          </c:tx>
          <c:spPr>
            <a:ln w="50800" cap="rnd" cmpd="thickThin">
              <a:solidFill>
                <a:schemeClr val="accent5">
                  <a:lumMod val="75000"/>
                </a:schemeClr>
              </a:solidFill>
              <a:prstDash val="lgDash"/>
              <a:beve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tx1"/>
              </a:solidFill>
              <a:ln w="15875" cap="sq" cmpd="thickThin">
                <a:solidFill>
                  <a:schemeClr val="accent5">
                    <a:lumMod val="75000"/>
                    <a:alpha val="99000"/>
                  </a:schemeClr>
                </a:solidFill>
                <a:prstDash val="lgDash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Hesap!$N$3:$N$14</c:f>
              <c:strCache>
                <c:ptCount val="12"/>
                <c:pt idx="0">
                  <c:v>Oca</c:v>
                </c:pt>
                <c:pt idx="1">
                  <c:v>Şub</c:v>
                </c:pt>
                <c:pt idx="2">
                  <c:v>Mar</c:v>
                </c:pt>
                <c:pt idx="3">
                  <c:v>Nis</c:v>
                </c:pt>
                <c:pt idx="4">
                  <c:v>May</c:v>
                </c:pt>
                <c:pt idx="5">
                  <c:v>Haz</c:v>
                </c:pt>
                <c:pt idx="6">
                  <c:v>Tem</c:v>
                </c:pt>
                <c:pt idx="7">
                  <c:v>Ağu</c:v>
                </c:pt>
                <c:pt idx="8">
                  <c:v>Eyl</c:v>
                </c:pt>
                <c:pt idx="9">
                  <c:v>Eki</c:v>
                </c:pt>
                <c:pt idx="10">
                  <c:v>Kas</c:v>
                </c:pt>
                <c:pt idx="11">
                  <c:v>Ara</c:v>
                </c:pt>
              </c:strCache>
            </c:strRef>
          </c:cat>
          <c:val>
            <c:numRef>
              <c:f>Hesap!$Q$3:$Q$14</c:f>
              <c:numCache>
                <c:formatCode>0%</c:formatCode>
                <c:ptCount val="12"/>
                <c:pt idx="0">
                  <c:v>0.41</c:v>
                </c:pt>
                <c:pt idx="1">
                  <c:v>0.33</c:v>
                </c:pt>
                <c:pt idx="2">
                  <c:v>0.42</c:v>
                </c:pt>
                <c:pt idx="3">
                  <c:v>0.43</c:v>
                </c:pt>
                <c:pt idx="4">
                  <c:v>0.6</c:v>
                </c:pt>
                <c:pt idx="5">
                  <c:v>0.49</c:v>
                </c:pt>
                <c:pt idx="6">
                  <c:v>0.67</c:v>
                </c:pt>
                <c:pt idx="7">
                  <c:v>0.79</c:v>
                </c:pt>
                <c:pt idx="8">
                  <c:v>0.3</c:v>
                </c:pt>
                <c:pt idx="9">
                  <c:v>0.77</c:v>
                </c:pt>
                <c:pt idx="10">
                  <c:v>0.69</c:v>
                </c:pt>
                <c:pt idx="11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86-4708-BDD9-74C3B9F47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4064464"/>
        <c:axId val="404959632"/>
      </c:lineChart>
      <c:catAx>
        <c:axId val="36406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04959632"/>
        <c:crosses val="autoZero"/>
        <c:auto val="1"/>
        <c:lblAlgn val="ctr"/>
        <c:lblOffset val="100"/>
        <c:noMultiLvlLbl val="0"/>
      </c:catAx>
      <c:valAx>
        <c:axId val="40495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406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Radio" checked="Checked" firstButton="1" fmlaLink="Hesap!$D$2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Drop" dropStyle="combo" dx="15" fmlaLink="Hesap!$D$3" fmlaRange="Hesap!$A$2:$A$13" noThreeD="1" sel="4" val="3"/>
</file>

<file path=xl/ctrlProps/ctrlProp6.xml><?xml version="1.0" encoding="utf-8"?>
<formControlPr xmlns="http://schemas.microsoft.com/office/spreadsheetml/2009/9/main" objectType="CheckBox" checked="Checked" fmlaLink="Hesap!$N$1" lockText="1" noThreeD="1"/>
</file>

<file path=xl/ctrlProps/ctrlProp7.xml><?xml version="1.0" encoding="utf-8"?>
<formControlPr xmlns="http://schemas.microsoft.com/office/spreadsheetml/2009/9/main" objectType="CheckBox" checked="Checked" fmlaLink="Hesap!$O$1" lockText="1" noThreeD="1"/>
</file>

<file path=xl/ctrlProps/ctrlProp8.xml><?xml version="1.0" encoding="utf-8"?>
<formControlPr xmlns="http://schemas.microsoft.com/office/spreadsheetml/2009/9/main" objectType="CheckBox" checked="Checked" fmlaLink="Hesap!$P$1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68294</xdr:colOff>
      <xdr:row>4</xdr:row>
      <xdr:rowOff>38100</xdr:rowOff>
    </xdr:from>
    <xdr:to>
      <xdr:col>0</xdr:col>
      <xdr:colOff>964480</xdr:colOff>
      <xdr:row>4</xdr:row>
      <xdr:rowOff>938100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94" y="4076700"/>
          <a:ext cx="896186" cy="9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67658</xdr:colOff>
      <xdr:row>3</xdr:row>
      <xdr:rowOff>42050</xdr:rowOff>
    </xdr:from>
    <xdr:to>
      <xdr:col>0</xdr:col>
      <xdr:colOff>963844</xdr:colOff>
      <xdr:row>3</xdr:row>
      <xdr:rowOff>942050</xdr:rowOff>
    </xdr:to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58" y="3071000"/>
          <a:ext cx="896186" cy="9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67023</xdr:colOff>
      <xdr:row>2</xdr:row>
      <xdr:rowOff>46000</xdr:rowOff>
    </xdr:from>
    <xdr:to>
      <xdr:col>0</xdr:col>
      <xdr:colOff>963209</xdr:colOff>
      <xdr:row>2</xdr:row>
      <xdr:rowOff>946000</xdr:rowOff>
    </xdr:to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23" y="2065300"/>
          <a:ext cx="896186" cy="9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70201</xdr:colOff>
      <xdr:row>1</xdr:row>
      <xdr:rowOff>49950</xdr:rowOff>
    </xdr:from>
    <xdr:to>
      <xdr:col>0</xdr:col>
      <xdr:colOff>962574</xdr:colOff>
      <xdr:row>1</xdr:row>
      <xdr:rowOff>949950</xdr:rowOff>
    </xdr:to>
    <xdr:pic>
      <xdr:nvPicPr>
        <xdr:cNvPr id="5" name="Resim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01" y="1059600"/>
          <a:ext cx="892373" cy="9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</xdr:row>
      <xdr:rowOff>66675</xdr:rowOff>
    </xdr:from>
    <xdr:to>
      <xdr:col>1</xdr:col>
      <xdr:colOff>542925</xdr:colOff>
      <xdr:row>4</xdr:row>
      <xdr:rowOff>180975</xdr:rowOff>
    </xdr:to>
    <xdr:sp macro="" textlink="">
      <xdr:nvSpPr>
        <xdr:cNvPr id="2" name="Dikdörtgen 1"/>
        <xdr:cNvSpPr/>
      </xdr:nvSpPr>
      <xdr:spPr>
        <a:xfrm>
          <a:off x="57150" y="66675"/>
          <a:ext cx="1095375" cy="304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100"/>
            <a:t>Bölge Seçiniz</a:t>
          </a:r>
        </a:p>
      </xdr:txBody>
    </xdr:sp>
    <xdr:clientData/>
  </xdr:twoCellAnchor>
  <xdr:twoCellAnchor>
    <xdr:from>
      <xdr:col>0</xdr:col>
      <xdr:colOff>38100</xdr:colOff>
      <xdr:row>15</xdr:row>
      <xdr:rowOff>0</xdr:rowOff>
    </xdr:from>
    <xdr:to>
      <xdr:col>1</xdr:col>
      <xdr:colOff>590550</xdr:colOff>
      <xdr:row>16</xdr:row>
      <xdr:rowOff>114300</xdr:rowOff>
    </xdr:to>
    <xdr:sp macro="" textlink="">
      <xdr:nvSpPr>
        <xdr:cNvPr id="3" name="Dikdörtgen 2"/>
        <xdr:cNvSpPr/>
      </xdr:nvSpPr>
      <xdr:spPr>
        <a:xfrm>
          <a:off x="38100" y="2857500"/>
          <a:ext cx="1162050" cy="304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100"/>
            <a:t>Grafik Ölçümleri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60960</xdr:colOff>
          <xdr:row>5</xdr:row>
          <xdr:rowOff>30480</xdr:rowOff>
        </xdr:from>
        <xdr:to>
          <xdr:col>1</xdr:col>
          <xdr:colOff>121920</xdr:colOff>
          <xdr:row>6</xdr:row>
          <xdr:rowOff>68580</xdr:rowOff>
        </xdr:to>
        <xdr:sp macro="" textlink="">
          <xdr:nvSpPr>
            <xdr:cNvPr id="3073" name="Option Button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548DD4"/>
            </a:solidFill>
            <a:ln w="28575">
              <a:solidFill>
                <a:srgbClr val="C0504D"/>
              </a:solidFill>
              <a:miter lim="800000"/>
              <a:headEnd/>
              <a:tailEnd/>
            </a:ln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Doğu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6</xdr:row>
          <xdr:rowOff>137160</xdr:rowOff>
        </xdr:from>
        <xdr:to>
          <xdr:col>1</xdr:col>
          <xdr:colOff>137160</xdr:colOff>
          <xdr:row>7</xdr:row>
          <xdr:rowOff>175260</xdr:rowOff>
        </xdr:to>
        <xdr:sp macro="" textlink="">
          <xdr:nvSpPr>
            <xdr:cNvPr id="3074" name="Option Button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548DD4"/>
            </a:solidFill>
            <a:ln w="28575">
              <a:solidFill>
                <a:srgbClr val="EA700D"/>
              </a:solidFill>
              <a:miter lim="800000"/>
              <a:headEnd/>
              <a:tailEnd/>
            </a:ln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Batı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7</xdr:row>
          <xdr:rowOff>175260</xdr:rowOff>
        </xdr:from>
        <xdr:to>
          <xdr:col>1</xdr:col>
          <xdr:colOff>137160</xdr:colOff>
          <xdr:row>9</xdr:row>
          <xdr:rowOff>22860</xdr:rowOff>
        </xdr:to>
        <xdr:sp macro="" textlink="">
          <xdr:nvSpPr>
            <xdr:cNvPr id="3075" name="Option Button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548DD4"/>
            </a:solidFill>
            <a:ln w="28575">
              <a:solidFill>
                <a:srgbClr val="EA700D"/>
              </a:solidFill>
              <a:miter lim="800000"/>
              <a:headEnd/>
              <a:tailEnd/>
            </a:ln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Kuzey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8</xdr:row>
          <xdr:rowOff>182880</xdr:rowOff>
        </xdr:from>
        <xdr:to>
          <xdr:col>1</xdr:col>
          <xdr:colOff>137160</xdr:colOff>
          <xdr:row>10</xdr:row>
          <xdr:rowOff>30480</xdr:rowOff>
        </xdr:to>
        <xdr:sp macro="" textlink="">
          <xdr:nvSpPr>
            <xdr:cNvPr id="3076" name="Option Button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548DD4"/>
            </a:solidFill>
            <a:ln w="28575">
              <a:solidFill>
                <a:srgbClr val="EA700D"/>
              </a:solidFill>
              <a:miter lim="800000"/>
              <a:headEnd/>
              <a:tailEnd/>
            </a:ln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Güney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30480</xdr:colOff>
          <xdr:row>12</xdr:row>
          <xdr:rowOff>182880</xdr:rowOff>
        </xdr:from>
        <xdr:to>
          <xdr:col>1</xdr:col>
          <xdr:colOff>541020</xdr:colOff>
          <xdr:row>14</xdr:row>
          <xdr:rowOff>114300</xdr:rowOff>
        </xdr:to>
        <xdr:sp macro="" textlink="">
          <xdr:nvSpPr>
            <xdr:cNvPr id="3078" name="Drop Down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204787</xdr:colOff>
      <xdr:row>3</xdr:row>
      <xdr:rowOff>0</xdr:rowOff>
    </xdr:from>
    <xdr:to>
      <xdr:col>5</xdr:col>
      <xdr:colOff>523875</xdr:colOff>
      <xdr:row>12</xdr:row>
      <xdr:rowOff>171452</xdr:rowOff>
    </xdr:to>
    <xdr:graphicFrame macro="">
      <xdr:nvGraphicFramePr>
        <xdr:cNvPr id="4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576262</xdr:colOff>
      <xdr:row>3</xdr:row>
      <xdr:rowOff>1</xdr:rowOff>
    </xdr:from>
    <xdr:to>
      <xdr:col>9</xdr:col>
      <xdr:colOff>409575</xdr:colOff>
      <xdr:row>13</xdr:row>
      <xdr:rowOff>1</xdr:rowOff>
    </xdr:to>
    <xdr:graphicFrame macro="">
      <xdr:nvGraphicFramePr>
        <xdr:cNvPr id="13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9525</xdr:colOff>
      <xdr:row>6</xdr:row>
      <xdr:rowOff>85725</xdr:rowOff>
    </xdr:from>
    <xdr:to>
      <xdr:col>8</xdr:col>
      <xdr:colOff>381000</xdr:colOff>
      <xdr:row>11</xdr:row>
      <xdr:rowOff>66675</xdr:rowOff>
    </xdr:to>
    <xdr:sp macro="" textlink="Hesap!G3">
      <xdr:nvSpPr>
        <xdr:cNvPr id="14" name="Oval 13"/>
        <xdr:cNvSpPr/>
      </xdr:nvSpPr>
      <xdr:spPr>
        <a:xfrm>
          <a:off x="4276725" y="657225"/>
          <a:ext cx="981075" cy="933450"/>
        </a:xfrm>
        <a:prstGeom prst="ellipse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AEA85982-79F6-4F93-A665-6439DF557762}" type="TxLink">
            <a:rPr lang="en-US" sz="2000" b="0" i="0" u="none" strike="noStrike">
              <a:solidFill>
                <a:srgbClr val="000000"/>
              </a:solidFill>
              <a:latin typeface="Calibri"/>
            </a:rPr>
            <a:pPr algn="ctr"/>
            <a:t>67%</a:t>
          </a:fld>
          <a:endParaRPr lang="tr-TR" sz="4800"/>
        </a:p>
      </xdr:txBody>
    </xdr:sp>
    <xdr:clientData/>
  </xdr:twoCellAnchor>
  <xdr:twoCellAnchor>
    <xdr:from>
      <xdr:col>0</xdr:col>
      <xdr:colOff>57150</xdr:colOff>
      <xdr:row>0</xdr:row>
      <xdr:rowOff>57150</xdr:rowOff>
    </xdr:from>
    <xdr:to>
      <xdr:col>14</xdr:col>
      <xdr:colOff>0</xdr:colOff>
      <xdr:row>2</xdr:row>
      <xdr:rowOff>123825</xdr:rowOff>
    </xdr:to>
    <xdr:sp macro="" textlink="">
      <xdr:nvSpPr>
        <xdr:cNvPr id="5" name="Dikdörtgen 4"/>
        <xdr:cNvSpPr/>
      </xdr:nvSpPr>
      <xdr:spPr>
        <a:xfrm>
          <a:off x="57150" y="57150"/>
          <a:ext cx="849630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Bölgesel Gösterge Tablosu - 2018</a:t>
          </a:r>
          <a:endParaRPr lang="tr-TR" sz="1800">
            <a:effectLst/>
          </a:endParaRPr>
        </a:p>
        <a:p>
          <a:pPr algn="ctr"/>
          <a:endParaRPr lang="tr-TR" sz="2400"/>
        </a:p>
      </xdr:txBody>
    </xdr:sp>
    <xdr:clientData/>
  </xdr:twoCellAnchor>
  <xdr:twoCellAnchor>
    <xdr:from>
      <xdr:col>9</xdr:col>
      <xdr:colOff>457200</xdr:colOff>
      <xdr:row>3</xdr:row>
      <xdr:rowOff>9525</xdr:rowOff>
    </xdr:from>
    <xdr:to>
      <xdr:col>14</xdr:col>
      <xdr:colOff>0</xdr:colOff>
      <xdr:row>12</xdr:row>
      <xdr:rowOff>152400</xdr:rowOff>
    </xdr:to>
    <xdr:graphicFrame macro="">
      <xdr:nvGraphicFramePr>
        <xdr:cNvPr id="18" name="Grafik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11</xdr:row>
      <xdr:rowOff>19050</xdr:rowOff>
    </xdr:from>
    <xdr:to>
      <xdr:col>1</xdr:col>
      <xdr:colOff>571500</xdr:colOff>
      <xdr:row>12</xdr:row>
      <xdr:rowOff>112059</xdr:rowOff>
    </xdr:to>
    <xdr:sp macro="" textlink="">
      <xdr:nvSpPr>
        <xdr:cNvPr id="19" name="Dikdörtgen 18"/>
        <xdr:cNvSpPr/>
      </xdr:nvSpPr>
      <xdr:spPr>
        <a:xfrm>
          <a:off x="38100" y="2114550"/>
          <a:ext cx="1138518" cy="28350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100"/>
            <a:t>Ay Seçiniz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106680</xdr:colOff>
          <xdr:row>16</xdr:row>
          <xdr:rowOff>175260</xdr:rowOff>
        </xdr:from>
        <xdr:to>
          <xdr:col>1</xdr:col>
          <xdr:colOff>487680</xdr:colOff>
          <xdr:row>18</xdr:row>
          <xdr:rowOff>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0C0C0" mc:Ignorable="a14" a14:legacySpreadsheetColorIndex="22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106680</xdr:colOff>
          <xdr:row>18</xdr:row>
          <xdr:rowOff>38100</xdr:rowOff>
        </xdr:from>
        <xdr:to>
          <xdr:col>1</xdr:col>
          <xdr:colOff>487680</xdr:colOff>
          <xdr:row>19</xdr:row>
          <xdr:rowOff>60960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0C0C0" mc:Ignorable="a14" a14:legacySpreadsheetColorIndex="22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Kalite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106680</xdr:colOff>
          <xdr:row>19</xdr:row>
          <xdr:rowOff>106680</xdr:rowOff>
        </xdr:from>
        <xdr:to>
          <xdr:col>1</xdr:col>
          <xdr:colOff>487680</xdr:colOff>
          <xdr:row>20</xdr:row>
          <xdr:rowOff>121920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0C0C0" mc:Ignorable="a14" a14:legacySpreadsheetColorIndex="22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Verimlilik</a:t>
              </a:r>
            </a:p>
          </xdr:txBody>
        </xdr:sp>
        <xdr:clientData/>
      </xdr:twoCellAnchor>
    </mc:Choice>
    <mc:Fallback/>
  </mc:AlternateContent>
  <xdr:twoCellAnchor>
    <xdr:from>
      <xdr:col>2</xdr:col>
      <xdr:colOff>90487</xdr:colOff>
      <xdr:row>12</xdr:row>
      <xdr:rowOff>142875</xdr:rowOff>
    </xdr:from>
    <xdr:to>
      <xdr:col>14</xdr:col>
      <xdr:colOff>0</xdr:colOff>
      <xdr:row>25</xdr:row>
      <xdr:rowOff>9525</xdr:rowOff>
    </xdr:to>
    <xdr:graphicFrame macro="">
      <xdr:nvGraphicFramePr>
        <xdr:cNvPr id="7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showGridLines="0" tabSelected="1" workbookViewId="0">
      <pane ySplit="1" topLeftCell="A2" activePane="bottomLeft" state="frozen"/>
      <selection activeCell="D4" sqref="D4"/>
      <selection pane="bottomLeft" activeCell="B27" sqref="B27"/>
    </sheetView>
  </sheetViews>
  <sheetFormatPr defaultRowHeight="14.4" x14ac:dyDescent="0.3"/>
  <cols>
    <col min="1" max="1" width="9.5546875" customWidth="1"/>
    <col min="2" max="6" width="15.6640625" customWidth="1"/>
    <col min="7" max="7" width="9.5546875" bestFit="1" customWidth="1"/>
  </cols>
  <sheetData>
    <row r="1" spans="1:9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9" ht="15" customHeight="1" x14ac:dyDescent="0.3">
      <c r="A2" s="3" t="str">
        <f>B2&amp;C2</f>
        <v>OcaDoğu</v>
      </c>
      <c r="B2" s="3" t="s">
        <v>7</v>
      </c>
      <c r="C2" s="3" t="s">
        <v>8</v>
      </c>
      <c r="D2" s="4">
        <v>0.7</v>
      </c>
      <c r="E2" s="4">
        <v>0.59</v>
      </c>
      <c r="F2" s="4">
        <v>0.41</v>
      </c>
      <c r="G2" s="4" t="s">
        <v>9</v>
      </c>
      <c r="H2" t="s">
        <v>10</v>
      </c>
    </row>
    <row r="3" spans="1:9" ht="15" customHeight="1" x14ac:dyDescent="0.3">
      <c r="A3" s="3" t="str">
        <f t="shared" ref="A3:A49" si="0">B3&amp;C3</f>
        <v>OcaBatı</v>
      </c>
      <c r="B3" s="3" t="s">
        <v>7</v>
      </c>
      <c r="C3" s="3" t="s">
        <v>11</v>
      </c>
      <c r="D3" s="4">
        <v>0.43</v>
      </c>
      <c r="E3" s="4">
        <v>0.57999999999999996</v>
      </c>
      <c r="F3" s="4">
        <v>0.78</v>
      </c>
      <c r="G3" s="4" t="s">
        <v>12</v>
      </c>
      <c r="H3" t="s">
        <v>3</v>
      </c>
      <c r="I3" t="s">
        <v>13</v>
      </c>
    </row>
    <row r="4" spans="1:9" ht="15" customHeight="1" x14ac:dyDescent="0.3">
      <c r="A4" s="3" t="str">
        <f t="shared" si="0"/>
        <v>OcaKuzey</v>
      </c>
      <c r="B4" s="3" t="s">
        <v>7</v>
      </c>
      <c r="C4" s="3" t="s">
        <v>14</v>
      </c>
      <c r="D4" s="4">
        <v>0.62</v>
      </c>
      <c r="E4" s="4">
        <v>0.65</v>
      </c>
      <c r="F4" s="4">
        <v>0.54</v>
      </c>
      <c r="G4" s="4" t="s">
        <v>15</v>
      </c>
    </row>
    <row r="5" spans="1:9" ht="15" customHeight="1" x14ac:dyDescent="0.3">
      <c r="A5" s="3" t="str">
        <f t="shared" si="0"/>
        <v>OcaGüney</v>
      </c>
      <c r="B5" s="3" t="s">
        <v>7</v>
      </c>
      <c r="C5" s="3" t="s">
        <v>16</v>
      </c>
      <c r="D5" s="4">
        <v>0.79</v>
      </c>
      <c r="E5" s="4">
        <v>0.49</v>
      </c>
      <c r="F5" s="4">
        <v>0.62</v>
      </c>
      <c r="G5" s="4" t="s">
        <v>17</v>
      </c>
    </row>
    <row r="6" spans="1:9" ht="15" customHeight="1" x14ac:dyDescent="0.3">
      <c r="A6" s="3" t="str">
        <f t="shared" si="0"/>
        <v>ŞubDoğu</v>
      </c>
      <c r="B6" s="3" t="s">
        <v>18</v>
      </c>
      <c r="C6" s="3" t="s">
        <v>8</v>
      </c>
      <c r="D6" s="4">
        <v>0.69</v>
      </c>
      <c r="E6" s="4">
        <v>0.49</v>
      </c>
      <c r="F6" s="4">
        <v>0.33</v>
      </c>
      <c r="G6" s="4" t="s">
        <v>9</v>
      </c>
    </row>
    <row r="7" spans="1:9" ht="15" customHeight="1" x14ac:dyDescent="0.3">
      <c r="A7" s="3" t="str">
        <f t="shared" si="0"/>
        <v>ŞubBatı</v>
      </c>
      <c r="B7" s="3" t="s">
        <v>18</v>
      </c>
      <c r="C7" s="3" t="s">
        <v>11</v>
      </c>
      <c r="D7" s="4">
        <v>0.37</v>
      </c>
      <c r="E7" s="4">
        <v>0.54</v>
      </c>
      <c r="F7" s="4">
        <v>0.47</v>
      </c>
      <c r="G7" s="4" t="s">
        <v>12</v>
      </c>
    </row>
    <row r="8" spans="1:9" ht="15" customHeight="1" x14ac:dyDescent="0.3">
      <c r="A8" s="3" t="str">
        <f t="shared" si="0"/>
        <v>ŞubKuzey</v>
      </c>
      <c r="B8" s="3" t="s">
        <v>18</v>
      </c>
      <c r="C8" s="3" t="s">
        <v>14</v>
      </c>
      <c r="D8" s="4">
        <v>0.7</v>
      </c>
      <c r="E8" s="4">
        <v>0.31</v>
      </c>
      <c r="F8" s="4">
        <v>0.59</v>
      </c>
      <c r="G8" s="4" t="s">
        <v>15</v>
      </c>
    </row>
    <row r="9" spans="1:9" ht="15" customHeight="1" x14ac:dyDescent="0.3">
      <c r="A9" s="3" t="str">
        <f t="shared" si="0"/>
        <v>ŞubGüney</v>
      </c>
      <c r="B9" s="3" t="s">
        <v>18</v>
      </c>
      <c r="C9" s="3" t="s">
        <v>16</v>
      </c>
      <c r="D9" s="4">
        <v>0.68</v>
      </c>
      <c r="E9" s="4">
        <v>0.3</v>
      </c>
      <c r="F9" s="4">
        <v>0.41</v>
      </c>
      <c r="G9" s="4" t="s">
        <v>17</v>
      </c>
    </row>
    <row r="10" spans="1:9" ht="15" customHeight="1" x14ac:dyDescent="0.3">
      <c r="A10" s="3" t="str">
        <f t="shared" si="0"/>
        <v>MarDoğu</v>
      </c>
      <c r="B10" s="3" t="s">
        <v>19</v>
      </c>
      <c r="C10" s="3" t="s">
        <v>8</v>
      </c>
      <c r="D10" s="4">
        <v>0.41</v>
      </c>
      <c r="E10" s="4">
        <v>0.45</v>
      </c>
      <c r="F10" s="4">
        <v>0.42</v>
      </c>
      <c r="G10" s="4" t="s">
        <v>9</v>
      </c>
    </row>
    <row r="11" spans="1:9" ht="15" customHeight="1" x14ac:dyDescent="0.3">
      <c r="A11" s="3" t="str">
        <f t="shared" si="0"/>
        <v>MarBatı</v>
      </c>
      <c r="B11" s="3" t="s">
        <v>19</v>
      </c>
      <c r="C11" s="3" t="s">
        <v>11</v>
      </c>
      <c r="D11" s="4">
        <v>0.39</v>
      </c>
      <c r="E11" s="4">
        <v>0.38</v>
      </c>
      <c r="F11" s="4">
        <v>0.77</v>
      </c>
      <c r="G11" s="4" t="s">
        <v>12</v>
      </c>
    </row>
    <row r="12" spans="1:9" ht="15" customHeight="1" x14ac:dyDescent="0.3">
      <c r="A12" s="3" t="str">
        <f t="shared" si="0"/>
        <v>MarKuzey</v>
      </c>
      <c r="B12" s="3" t="s">
        <v>19</v>
      </c>
      <c r="C12" s="3" t="s">
        <v>14</v>
      </c>
      <c r="D12" s="4">
        <v>0.77</v>
      </c>
      <c r="E12" s="4">
        <v>0.4</v>
      </c>
      <c r="F12" s="4">
        <v>0.5</v>
      </c>
      <c r="G12" s="4" t="s">
        <v>15</v>
      </c>
    </row>
    <row r="13" spans="1:9" ht="15" customHeight="1" x14ac:dyDescent="0.3">
      <c r="A13" s="3" t="str">
        <f t="shared" si="0"/>
        <v>MarGüney</v>
      </c>
      <c r="B13" s="3" t="s">
        <v>19</v>
      </c>
      <c r="C13" s="3" t="s">
        <v>16</v>
      </c>
      <c r="D13" s="4">
        <v>0.64</v>
      </c>
      <c r="E13" s="4">
        <v>0.34</v>
      </c>
      <c r="F13" s="4">
        <v>0.77</v>
      </c>
      <c r="G13" s="4" t="s">
        <v>17</v>
      </c>
    </row>
    <row r="14" spans="1:9" ht="15" customHeight="1" x14ac:dyDescent="0.3">
      <c r="A14" s="3" t="str">
        <f t="shared" si="0"/>
        <v>NisDoğu</v>
      </c>
      <c r="B14" s="3" t="s">
        <v>20</v>
      </c>
      <c r="C14" s="3" t="s">
        <v>8</v>
      </c>
      <c r="D14" s="4">
        <v>0.43</v>
      </c>
      <c r="E14" s="4">
        <v>0.67</v>
      </c>
      <c r="F14" s="4">
        <v>0.43</v>
      </c>
      <c r="G14" s="4" t="s">
        <v>9</v>
      </c>
    </row>
    <row r="15" spans="1:9" ht="15" customHeight="1" x14ac:dyDescent="0.3">
      <c r="A15" s="3" t="str">
        <f t="shared" si="0"/>
        <v>NisBatı</v>
      </c>
      <c r="B15" s="3" t="s">
        <v>20</v>
      </c>
      <c r="C15" s="3" t="s">
        <v>11</v>
      </c>
      <c r="D15" s="4">
        <v>0.75</v>
      </c>
      <c r="E15" s="4">
        <v>0.43</v>
      </c>
      <c r="F15" s="4">
        <v>0.51</v>
      </c>
      <c r="G15" s="4" t="s">
        <v>12</v>
      </c>
    </row>
    <row r="16" spans="1:9" ht="15" customHeight="1" x14ac:dyDescent="0.3">
      <c r="A16" s="3" t="str">
        <f t="shared" si="0"/>
        <v>NisKuzey</v>
      </c>
      <c r="B16" s="3" t="s">
        <v>20</v>
      </c>
      <c r="C16" s="3" t="s">
        <v>14</v>
      </c>
      <c r="D16" s="4">
        <v>0.36</v>
      </c>
      <c r="E16" s="4">
        <v>0.73</v>
      </c>
      <c r="F16" s="4">
        <v>0.63</v>
      </c>
      <c r="G16" s="4" t="s">
        <v>15</v>
      </c>
    </row>
    <row r="17" spans="1:7" ht="15" customHeight="1" x14ac:dyDescent="0.3">
      <c r="A17" s="3" t="str">
        <f t="shared" si="0"/>
        <v>NisGüney</v>
      </c>
      <c r="B17" s="3" t="s">
        <v>20</v>
      </c>
      <c r="C17" s="3" t="s">
        <v>16</v>
      </c>
      <c r="D17" s="4">
        <v>0.34</v>
      </c>
      <c r="E17" s="4">
        <v>0.68</v>
      </c>
      <c r="F17" s="4">
        <v>0.74</v>
      </c>
      <c r="G17" s="4" t="s">
        <v>17</v>
      </c>
    </row>
    <row r="18" spans="1:7" ht="15" customHeight="1" x14ac:dyDescent="0.3">
      <c r="A18" s="3" t="str">
        <f t="shared" si="0"/>
        <v>MayDoğu</v>
      </c>
      <c r="B18" s="3" t="s">
        <v>21</v>
      </c>
      <c r="C18" s="3" t="s">
        <v>8</v>
      </c>
      <c r="D18" s="4">
        <v>0.36</v>
      </c>
      <c r="E18" s="4">
        <v>0.66</v>
      </c>
      <c r="F18" s="4">
        <v>0.6</v>
      </c>
      <c r="G18" s="4" t="s">
        <v>9</v>
      </c>
    </row>
    <row r="19" spans="1:7" ht="15" customHeight="1" x14ac:dyDescent="0.3">
      <c r="A19" s="3" t="str">
        <f t="shared" si="0"/>
        <v>MayBatı</v>
      </c>
      <c r="B19" s="3" t="s">
        <v>21</v>
      </c>
      <c r="C19" s="3" t="s">
        <v>11</v>
      </c>
      <c r="D19" s="4">
        <v>0.69</v>
      </c>
      <c r="E19" s="4">
        <v>0.67</v>
      </c>
      <c r="F19" s="4">
        <v>0.78</v>
      </c>
      <c r="G19" s="4" t="s">
        <v>12</v>
      </c>
    </row>
    <row r="20" spans="1:7" ht="15" customHeight="1" x14ac:dyDescent="0.3">
      <c r="A20" s="3" t="str">
        <f t="shared" si="0"/>
        <v>MayKuzey</v>
      </c>
      <c r="B20" s="3" t="s">
        <v>21</v>
      </c>
      <c r="C20" s="3" t="s">
        <v>14</v>
      </c>
      <c r="D20" s="4">
        <v>0.53</v>
      </c>
      <c r="E20" s="4">
        <v>0.4</v>
      </c>
      <c r="F20" s="4">
        <v>0.52</v>
      </c>
      <c r="G20" s="4" t="s">
        <v>15</v>
      </c>
    </row>
    <row r="21" spans="1:7" ht="15" customHeight="1" x14ac:dyDescent="0.3">
      <c r="A21" s="3" t="str">
        <f t="shared" si="0"/>
        <v>MayGüney</v>
      </c>
      <c r="B21" s="3" t="s">
        <v>21</v>
      </c>
      <c r="C21" s="3" t="s">
        <v>16</v>
      </c>
      <c r="D21" s="4">
        <v>0.72</v>
      </c>
      <c r="E21" s="4">
        <v>0.46</v>
      </c>
      <c r="F21" s="4">
        <v>0.56999999999999995</v>
      </c>
      <c r="G21" s="4" t="s">
        <v>17</v>
      </c>
    </row>
    <row r="22" spans="1:7" ht="15" customHeight="1" x14ac:dyDescent="0.3">
      <c r="A22" s="3" t="str">
        <f t="shared" si="0"/>
        <v>HazDoğu</v>
      </c>
      <c r="B22" s="3" t="s">
        <v>22</v>
      </c>
      <c r="C22" s="3" t="s">
        <v>8</v>
      </c>
      <c r="D22" s="4">
        <v>0.3</v>
      </c>
      <c r="E22" s="4">
        <v>0.7</v>
      </c>
      <c r="F22" s="4">
        <v>0.49</v>
      </c>
      <c r="G22" s="4" t="s">
        <v>9</v>
      </c>
    </row>
    <row r="23" spans="1:7" ht="15" customHeight="1" x14ac:dyDescent="0.3">
      <c r="A23" s="3" t="str">
        <f t="shared" si="0"/>
        <v>HazBatı</v>
      </c>
      <c r="B23" s="3" t="s">
        <v>22</v>
      </c>
      <c r="C23" s="3" t="s">
        <v>11</v>
      </c>
      <c r="D23" s="4">
        <v>0.76</v>
      </c>
      <c r="E23" s="4">
        <v>0.73</v>
      </c>
      <c r="F23" s="4">
        <v>0.63</v>
      </c>
      <c r="G23" s="4" t="s">
        <v>12</v>
      </c>
    </row>
    <row r="24" spans="1:7" ht="15" customHeight="1" x14ac:dyDescent="0.3">
      <c r="A24" s="3" t="str">
        <f t="shared" si="0"/>
        <v>HazKuzey</v>
      </c>
      <c r="B24" s="3" t="s">
        <v>22</v>
      </c>
      <c r="C24" s="3" t="s">
        <v>14</v>
      </c>
      <c r="D24" s="4">
        <v>0.7</v>
      </c>
      <c r="E24" s="4">
        <v>0.68</v>
      </c>
      <c r="F24" s="4">
        <v>0.75</v>
      </c>
      <c r="G24" s="4" t="s">
        <v>15</v>
      </c>
    </row>
    <row r="25" spans="1:7" ht="15" customHeight="1" x14ac:dyDescent="0.3">
      <c r="A25" s="3" t="str">
        <f t="shared" si="0"/>
        <v>HazGüney</v>
      </c>
      <c r="B25" s="3" t="s">
        <v>22</v>
      </c>
      <c r="C25" s="3" t="s">
        <v>16</v>
      </c>
      <c r="D25" s="4">
        <v>0.47</v>
      </c>
      <c r="E25" s="4">
        <v>0.77</v>
      </c>
      <c r="F25" s="4">
        <v>0.53</v>
      </c>
      <c r="G25" s="4" t="s">
        <v>17</v>
      </c>
    </row>
    <row r="26" spans="1:7" ht="15" customHeight="1" x14ac:dyDescent="0.3">
      <c r="A26" s="3" t="str">
        <f t="shared" si="0"/>
        <v>TemDoğu</v>
      </c>
      <c r="B26" s="3" t="s">
        <v>23</v>
      </c>
      <c r="C26" s="3" t="s">
        <v>8</v>
      </c>
      <c r="D26" s="4">
        <v>0.69</v>
      </c>
      <c r="E26" s="4">
        <v>0.33</v>
      </c>
      <c r="F26" s="4">
        <v>0.67</v>
      </c>
      <c r="G26" s="4" t="s">
        <v>9</v>
      </c>
    </row>
    <row r="27" spans="1:7" ht="15" customHeight="1" x14ac:dyDescent="0.3">
      <c r="A27" s="3" t="str">
        <f t="shared" si="0"/>
        <v>TemBatı</v>
      </c>
      <c r="B27" s="3" t="s">
        <v>23</v>
      </c>
      <c r="C27" s="3" t="s">
        <v>11</v>
      </c>
      <c r="D27" s="4">
        <v>0.54</v>
      </c>
      <c r="E27" s="4">
        <v>0.41</v>
      </c>
      <c r="F27" s="4">
        <v>0.42</v>
      </c>
      <c r="G27" s="4" t="s">
        <v>12</v>
      </c>
    </row>
    <row r="28" spans="1:7" ht="15" customHeight="1" x14ac:dyDescent="0.3">
      <c r="A28" s="3" t="str">
        <f t="shared" si="0"/>
        <v>TemKuzey</v>
      </c>
      <c r="B28" s="3" t="s">
        <v>23</v>
      </c>
      <c r="C28" s="3" t="s">
        <v>14</v>
      </c>
      <c r="D28" s="4">
        <v>0.44</v>
      </c>
      <c r="E28" s="4">
        <v>0.31</v>
      </c>
      <c r="F28" s="4">
        <v>0.34</v>
      </c>
      <c r="G28" s="4" t="s">
        <v>15</v>
      </c>
    </row>
    <row r="29" spans="1:7" ht="15" customHeight="1" x14ac:dyDescent="0.3">
      <c r="A29" s="3" t="str">
        <f t="shared" si="0"/>
        <v>TemGüney</v>
      </c>
      <c r="B29" s="3" t="s">
        <v>23</v>
      </c>
      <c r="C29" s="3" t="s">
        <v>16</v>
      </c>
      <c r="D29" s="4">
        <v>0.45</v>
      </c>
      <c r="E29" s="4">
        <v>0.6</v>
      </c>
      <c r="F29" s="4">
        <v>0.46</v>
      </c>
      <c r="G29" s="4" t="s">
        <v>17</v>
      </c>
    </row>
    <row r="30" spans="1:7" ht="15" customHeight="1" x14ac:dyDescent="0.3">
      <c r="A30" s="3" t="str">
        <f t="shared" si="0"/>
        <v>AğuDoğu</v>
      </c>
      <c r="B30" s="3" t="s">
        <v>24</v>
      </c>
      <c r="C30" s="3" t="s">
        <v>8</v>
      </c>
      <c r="D30" s="4">
        <v>0.79</v>
      </c>
      <c r="E30" s="4">
        <v>0.39</v>
      </c>
      <c r="F30" s="4">
        <v>0.79</v>
      </c>
      <c r="G30" s="4" t="s">
        <v>9</v>
      </c>
    </row>
    <row r="31" spans="1:7" ht="15" customHeight="1" x14ac:dyDescent="0.3">
      <c r="A31" s="3" t="str">
        <f t="shared" si="0"/>
        <v>AğuBatı</v>
      </c>
      <c r="B31" s="3" t="s">
        <v>24</v>
      </c>
      <c r="C31" s="3" t="s">
        <v>11</v>
      </c>
      <c r="D31" s="4">
        <v>0.74</v>
      </c>
      <c r="E31" s="4">
        <v>0.51</v>
      </c>
      <c r="F31" s="4">
        <v>0.65</v>
      </c>
      <c r="G31" s="4" t="s">
        <v>12</v>
      </c>
    </row>
    <row r="32" spans="1:7" ht="15" customHeight="1" x14ac:dyDescent="0.3">
      <c r="A32" s="3" t="str">
        <f t="shared" si="0"/>
        <v>AğuKuzey</v>
      </c>
      <c r="B32" s="3" t="s">
        <v>24</v>
      </c>
      <c r="C32" s="3" t="s">
        <v>14</v>
      </c>
      <c r="D32" s="4">
        <v>0.47</v>
      </c>
      <c r="E32" s="4">
        <v>0.53</v>
      </c>
      <c r="F32" s="4">
        <v>0.74</v>
      </c>
      <c r="G32" s="4" t="s">
        <v>15</v>
      </c>
    </row>
    <row r="33" spans="1:7" ht="15" customHeight="1" x14ac:dyDescent="0.3">
      <c r="A33" s="3" t="str">
        <f t="shared" si="0"/>
        <v>AğuGüney</v>
      </c>
      <c r="B33" s="3" t="s">
        <v>24</v>
      </c>
      <c r="C33" s="3" t="s">
        <v>16</v>
      </c>
      <c r="D33" s="4">
        <v>0.31</v>
      </c>
      <c r="E33" s="4">
        <v>0.54</v>
      </c>
      <c r="F33" s="4">
        <v>0.32</v>
      </c>
      <c r="G33" s="4" t="s">
        <v>17</v>
      </c>
    </row>
    <row r="34" spans="1:7" ht="15" customHeight="1" x14ac:dyDescent="0.3">
      <c r="A34" s="3" t="str">
        <f t="shared" si="0"/>
        <v>EylDoğu</v>
      </c>
      <c r="B34" s="3" t="s">
        <v>25</v>
      </c>
      <c r="C34" s="3" t="s">
        <v>8</v>
      </c>
      <c r="D34" s="4">
        <v>0.3</v>
      </c>
      <c r="E34" s="4">
        <v>0.36</v>
      </c>
      <c r="F34" s="4">
        <v>0.3</v>
      </c>
      <c r="G34" s="4" t="s">
        <v>9</v>
      </c>
    </row>
    <row r="35" spans="1:7" ht="15" customHeight="1" x14ac:dyDescent="0.3">
      <c r="A35" s="3" t="str">
        <f t="shared" si="0"/>
        <v>EylBatı</v>
      </c>
      <c r="B35" s="3" t="s">
        <v>25</v>
      </c>
      <c r="C35" s="3" t="s">
        <v>11</v>
      </c>
      <c r="D35" s="4">
        <v>0.53</v>
      </c>
      <c r="E35" s="4">
        <v>0.79</v>
      </c>
      <c r="F35" s="4">
        <v>0.52</v>
      </c>
      <c r="G35" s="4" t="s">
        <v>12</v>
      </c>
    </row>
    <row r="36" spans="1:7" ht="15" customHeight="1" x14ac:dyDescent="0.3">
      <c r="A36" s="3" t="str">
        <f t="shared" si="0"/>
        <v>EylKuzey</v>
      </c>
      <c r="B36" s="3" t="s">
        <v>25</v>
      </c>
      <c r="C36" s="3" t="s">
        <v>14</v>
      </c>
      <c r="D36" s="4">
        <v>0.42</v>
      </c>
      <c r="E36" s="4">
        <v>0.49</v>
      </c>
      <c r="F36" s="4">
        <v>0.71</v>
      </c>
      <c r="G36" s="4" t="s">
        <v>15</v>
      </c>
    </row>
    <row r="37" spans="1:7" ht="15" customHeight="1" x14ac:dyDescent="0.3">
      <c r="A37" s="3" t="str">
        <f t="shared" si="0"/>
        <v>EylGüney</v>
      </c>
      <c r="B37" s="3" t="s">
        <v>25</v>
      </c>
      <c r="C37" s="3" t="s">
        <v>16</v>
      </c>
      <c r="D37" s="4">
        <v>0.76</v>
      </c>
      <c r="E37" s="4">
        <v>0.74</v>
      </c>
      <c r="F37" s="4">
        <v>0.59</v>
      </c>
      <c r="G37" s="4" t="s">
        <v>17</v>
      </c>
    </row>
    <row r="38" spans="1:7" ht="15" customHeight="1" x14ac:dyDescent="0.3">
      <c r="A38" s="3" t="str">
        <f t="shared" si="0"/>
        <v>EkiDoğu</v>
      </c>
      <c r="B38" s="3" t="s">
        <v>26</v>
      </c>
      <c r="C38" s="3" t="s">
        <v>8</v>
      </c>
      <c r="D38" s="4">
        <v>0.39</v>
      </c>
      <c r="E38" s="4">
        <v>0.38</v>
      </c>
      <c r="F38" s="4">
        <v>0.77</v>
      </c>
      <c r="G38" s="4" t="s">
        <v>9</v>
      </c>
    </row>
    <row r="39" spans="1:7" ht="15" customHeight="1" x14ac:dyDescent="0.3">
      <c r="A39" s="3" t="str">
        <f t="shared" si="0"/>
        <v>EkiBatı</v>
      </c>
      <c r="B39" s="3" t="s">
        <v>26</v>
      </c>
      <c r="C39" s="3" t="s">
        <v>11</v>
      </c>
      <c r="D39" s="4">
        <v>0.51</v>
      </c>
      <c r="E39" s="4">
        <v>0.78</v>
      </c>
      <c r="F39" s="4">
        <v>0.52</v>
      </c>
      <c r="G39" s="4" t="s">
        <v>12</v>
      </c>
    </row>
    <row r="40" spans="1:7" ht="15" customHeight="1" x14ac:dyDescent="0.3">
      <c r="A40" s="3" t="str">
        <f t="shared" si="0"/>
        <v>EkiKuzey</v>
      </c>
      <c r="B40" s="3" t="s">
        <v>26</v>
      </c>
      <c r="C40" s="3" t="s">
        <v>14</v>
      </c>
      <c r="D40" s="4">
        <v>0.42</v>
      </c>
      <c r="E40" s="4">
        <v>0.66</v>
      </c>
      <c r="F40" s="4">
        <v>0.38</v>
      </c>
      <c r="G40" s="4" t="s">
        <v>15</v>
      </c>
    </row>
    <row r="41" spans="1:7" ht="15" customHeight="1" x14ac:dyDescent="0.3">
      <c r="A41" s="3" t="str">
        <f t="shared" si="0"/>
        <v>EkiGüney</v>
      </c>
      <c r="B41" s="3" t="s">
        <v>26</v>
      </c>
      <c r="C41" s="3" t="s">
        <v>16</v>
      </c>
      <c r="D41" s="4">
        <v>0.42</v>
      </c>
      <c r="E41" s="4">
        <v>0.65</v>
      </c>
      <c r="F41" s="4">
        <v>0.54</v>
      </c>
      <c r="G41" s="4" t="s">
        <v>17</v>
      </c>
    </row>
    <row r="42" spans="1:7" ht="15" customHeight="1" x14ac:dyDescent="0.3">
      <c r="A42" s="3" t="str">
        <f t="shared" si="0"/>
        <v>KasDoğu</v>
      </c>
      <c r="B42" s="3" t="s">
        <v>27</v>
      </c>
      <c r="C42" s="3" t="s">
        <v>8</v>
      </c>
      <c r="D42" s="4">
        <v>0.68</v>
      </c>
      <c r="E42" s="4">
        <v>0.38</v>
      </c>
      <c r="F42" s="4">
        <v>0.69</v>
      </c>
      <c r="G42" s="4" t="s">
        <v>9</v>
      </c>
    </row>
    <row r="43" spans="1:7" ht="15" customHeight="1" x14ac:dyDescent="0.3">
      <c r="A43" s="3" t="str">
        <f t="shared" si="0"/>
        <v>KasBatı</v>
      </c>
      <c r="B43" s="3" t="s">
        <v>27</v>
      </c>
      <c r="C43" s="3" t="s">
        <v>11</v>
      </c>
      <c r="D43" s="4">
        <v>0.5</v>
      </c>
      <c r="E43" s="4">
        <v>0.64</v>
      </c>
      <c r="F43" s="4">
        <v>0.55000000000000004</v>
      </c>
      <c r="G43" s="4" t="s">
        <v>12</v>
      </c>
    </row>
    <row r="44" spans="1:7" ht="15" customHeight="1" x14ac:dyDescent="0.3">
      <c r="A44" s="3" t="str">
        <f t="shared" si="0"/>
        <v>KasKuzey</v>
      </c>
      <c r="B44" s="3" t="s">
        <v>27</v>
      </c>
      <c r="C44" s="3" t="s">
        <v>14</v>
      </c>
      <c r="D44" s="4">
        <v>0.36</v>
      </c>
      <c r="E44" s="4">
        <v>0.49</v>
      </c>
      <c r="F44" s="4">
        <v>0.51</v>
      </c>
      <c r="G44" s="4" t="s">
        <v>15</v>
      </c>
    </row>
    <row r="45" spans="1:7" ht="15" customHeight="1" x14ac:dyDescent="0.3">
      <c r="A45" s="3" t="str">
        <f t="shared" si="0"/>
        <v>KasGüney</v>
      </c>
      <c r="B45" s="3" t="s">
        <v>27</v>
      </c>
      <c r="C45" s="3" t="s">
        <v>16</v>
      </c>
      <c r="D45" s="4">
        <v>0.37</v>
      </c>
      <c r="E45" s="4">
        <v>0.37</v>
      </c>
      <c r="F45" s="4">
        <v>0.54</v>
      </c>
      <c r="G45" s="4" t="s">
        <v>17</v>
      </c>
    </row>
    <row r="46" spans="1:7" ht="15" customHeight="1" x14ac:dyDescent="0.3">
      <c r="A46" s="3" t="str">
        <f t="shared" si="0"/>
        <v>AraDoğu</v>
      </c>
      <c r="B46" s="3" t="s">
        <v>28</v>
      </c>
      <c r="C46" s="3" t="s">
        <v>8</v>
      </c>
      <c r="D46" s="4">
        <v>0.56000000000000005</v>
      </c>
      <c r="E46" s="4">
        <v>0.73</v>
      </c>
      <c r="F46" s="4">
        <v>0.78</v>
      </c>
      <c r="G46" s="4" t="s">
        <v>9</v>
      </c>
    </row>
    <row r="47" spans="1:7" ht="15" customHeight="1" x14ac:dyDescent="0.3">
      <c r="A47" s="3" t="str">
        <f t="shared" si="0"/>
        <v>AraBatı</v>
      </c>
      <c r="B47" s="3" t="s">
        <v>28</v>
      </c>
      <c r="C47" s="3" t="s">
        <v>11</v>
      </c>
      <c r="D47" s="4">
        <v>0.49</v>
      </c>
      <c r="E47" s="4">
        <v>0.55000000000000004</v>
      </c>
      <c r="F47" s="4">
        <v>0.65</v>
      </c>
      <c r="G47" s="4" t="s">
        <v>12</v>
      </c>
    </row>
    <row r="48" spans="1:7" ht="15" customHeight="1" x14ac:dyDescent="0.3">
      <c r="A48" s="3" t="str">
        <f t="shared" si="0"/>
        <v>AraKuzey</v>
      </c>
      <c r="B48" s="3" t="s">
        <v>28</v>
      </c>
      <c r="C48" s="3" t="s">
        <v>14</v>
      </c>
      <c r="D48" s="4">
        <v>0.59</v>
      </c>
      <c r="E48" s="4">
        <v>0.43</v>
      </c>
      <c r="F48" s="4">
        <v>0.63</v>
      </c>
      <c r="G48" s="4" t="s">
        <v>15</v>
      </c>
    </row>
    <row r="49" spans="1:7" ht="15" customHeight="1" x14ac:dyDescent="0.3">
      <c r="A49" s="3" t="str">
        <f t="shared" si="0"/>
        <v>AraGüney</v>
      </c>
      <c r="B49" s="3" t="s">
        <v>28</v>
      </c>
      <c r="C49" s="3" t="s">
        <v>16</v>
      </c>
      <c r="D49" s="4">
        <v>0.45</v>
      </c>
      <c r="E49" s="4">
        <v>0.37</v>
      </c>
      <c r="F49" s="4">
        <v>0.39</v>
      </c>
      <c r="G49" s="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D4" sqref="D4"/>
    </sheetView>
  </sheetViews>
  <sheetFormatPr defaultRowHeight="14.4" x14ac:dyDescent="0.3"/>
  <cols>
    <col min="1" max="23" width="15.6640625" customWidth="1"/>
  </cols>
  <sheetData>
    <row r="1" spans="1:11" ht="80.099999999999994" customHeight="1" x14ac:dyDescent="0.3">
      <c r="A1" s="8" t="s">
        <v>29</v>
      </c>
      <c r="B1" s="8" t="s">
        <v>6</v>
      </c>
      <c r="C1" s="8" t="s">
        <v>2</v>
      </c>
      <c r="D1" s="8" t="s">
        <v>30</v>
      </c>
      <c r="E1" s="8" t="s">
        <v>31</v>
      </c>
      <c r="F1" s="8" t="s">
        <v>32</v>
      </c>
    </row>
    <row r="2" spans="1:11" ht="80.099999999999994" customHeight="1" x14ac:dyDescent="0.3">
      <c r="A2" s="9"/>
      <c r="B2" s="10" t="s">
        <v>9</v>
      </c>
      <c r="C2" s="11" t="s">
        <v>8</v>
      </c>
      <c r="D2" s="12"/>
      <c r="E2" s="12"/>
      <c r="F2" s="12"/>
    </row>
    <row r="3" spans="1:11" ht="80.099999999999994" customHeight="1" x14ac:dyDescent="0.3">
      <c r="A3" s="9"/>
      <c r="B3" s="10" t="s">
        <v>12</v>
      </c>
      <c r="C3" s="11" t="s">
        <v>11</v>
      </c>
      <c r="D3" s="12"/>
      <c r="E3" s="12"/>
      <c r="F3" s="12"/>
      <c r="I3" s="8" t="s">
        <v>30</v>
      </c>
      <c r="J3" s="8" t="s">
        <v>31</v>
      </c>
      <c r="K3" s="8" t="s">
        <v>32</v>
      </c>
    </row>
    <row r="4" spans="1:11" ht="80.099999999999994" customHeight="1" x14ac:dyDescent="0.3">
      <c r="A4" s="9"/>
      <c r="B4" s="10" t="s">
        <v>15</v>
      </c>
      <c r="C4" s="11" t="s">
        <v>14</v>
      </c>
      <c r="D4" s="12"/>
      <c r="E4" s="12"/>
      <c r="F4" s="12"/>
      <c r="H4" s="13"/>
      <c r="I4" s="14"/>
      <c r="J4" s="14"/>
      <c r="K4" s="14"/>
    </row>
    <row r="5" spans="1:11" ht="80.099999999999994" customHeight="1" x14ac:dyDescent="0.3">
      <c r="A5" s="9"/>
      <c r="B5" s="10" t="s">
        <v>17</v>
      </c>
      <c r="C5" s="11" t="s">
        <v>16</v>
      </c>
      <c r="D5" s="12"/>
      <c r="E5" s="12"/>
      <c r="F5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>
      <selection activeCell="I15" sqref="I15"/>
    </sheetView>
  </sheetViews>
  <sheetFormatPr defaultRowHeight="14.4" x14ac:dyDescent="0.3"/>
  <cols>
    <col min="4" max="4" width="8.44140625" bestFit="1" customWidth="1"/>
    <col min="5" max="5" width="4.6640625" customWidth="1"/>
    <col min="6" max="6" width="9.6640625" bestFit="1" customWidth="1"/>
    <col min="13" max="13" width="10.5546875" bestFit="1" customWidth="1"/>
  </cols>
  <sheetData>
    <row r="1" spans="1:18" x14ac:dyDescent="0.3">
      <c r="A1" s="1" t="s">
        <v>1</v>
      </c>
      <c r="B1" s="1" t="s">
        <v>2</v>
      </c>
      <c r="N1" t="b">
        <v>1</v>
      </c>
      <c r="O1" t="b">
        <v>1</v>
      </c>
      <c r="P1" t="b">
        <v>1</v>
      </c>
    </row>
    <row r="2" spans="1:18" x14ac:dyDescent="0.3">
      <c r="A2" t="s">
        <v>7</v>
      </c>
      <c r="B2" t="s">
        <v>8</v>
      </c>
      <c r="C2" t="str">
        <f>INDEX(B2:B5,D2)</f>
        <v>Doğu</v>
      </c>
      <c r="D2">
        <v>1</v>
      </c>
      <c r="F2" s="5" t="s">
        <v>3</v>
      </c>
      <c r="G2" s="6">
        <f>VLOOKUP($D$4,Data!$A$1:$G$49,MATCH(Hesap!F2,Data!$A$1:$G$1,0),0)</f>
        <v>0.43</v>
      </c>
      <c r="H2" s="6">
        <f>1-G2</f>
        <v>0.57000000000000006</v>
      </c>
      <c r="J2" s="6">
        <f>VLOOKUP($D$4,Data!$A$1:$G$49,MATCH(Hesap!F2,Data!$A$1:$G$1,0),0)</f>
        <v>0.43</v>
      </c>
      <c r="K2" s="7">
        <f>1-J2</f>
        <v>0.57000000000000006</v>
      </c>
      <c r="M2" s="1" t="s">
        <v>0</v>
      </c>
      <c r="N2" s="1" t="s">
        <v>1</v>
      </c>
      <c r="O2" s="1" t="s">
        <v>3</v>
      </c>
      <c r="P2" s="1" t="s">
        <v>4</v>
      </c>
      <c r="Q2" s="1" t="s">
        <v>5</v>
      </c>
    </row>
    <row r="3" spans="1:18" x14ac:dyDescent="0.3">
      <c r="A3" t="s">
        <v>18</v>
      </c>
      <c r="B3" t="s">
        <v>11</v>
      </c>
      <c r="C3" t="str">
        <f>INDEX(A2:A13,D3)</f>
        <v>Nis</v>
      </c>
      <c r="D3">
        <v>4</v>
      </c>
      <c r="F3" s="5" t="s">
        <v>4</v>
      </c>
      <c r="G3" s="6">
        <f>VLOOKUP($D$4,Data!$A$1:$G$49,MATCH(Hesap!F3,Data!$A$1:$G$1,0),0)</f>
        <v>0.67</v>
      </c>
      <c r="H3" s="6">
        <f t="shared" ref="H3:H4" si="0">1-G3</f>
        <v>0.32999999999999996</v>
      </c>
      <c r="J3" s="6">
        <f>VLOOKUP($D$4,Data!$A$1:$G$49,MATCH(Hesap!F3,Data!$A$1:$G$1,0),0)</f>
        <v>0.67</v>
      </c>
      <c r="K3" s="7">
        <f t="shared" ref="K3:K4" si="1">1-J3</f>
        <v>0.32999999999999996</v>
      </c>
      <c r="M3" t="str">
        <f>N3&amp;$C$2</f>
        <v>OcaDoğu</v>
      </c>
      <c r="N3" t="s">
        <v>7</v>
      </c>
      <c r="O3" s="6">
        <f>IF($N$1,VLOOKUP(M3,Data!$A:$G,4,0),NA())</f>
        <v>0.7</v>
      </c>
      <c r="P3" s="6">
        <f>IF($O$1,VLOOKUP(M3,Data!$A:$G,5,0))</f>
        <v>0.59</v>
      </c>
      <c r="Q3" s="6">
        <f>IF($P$1,VLOOKUP(M3,Data!$A:$G,6,0))</f>
        <v>0.41</v>
      </c>
      <c r="R3" s="6"/>
    </row>
    <row r="4" spans="1:18" x14ac:dyDescent="0.3">
      <c r="A4" t="s">
        <v>19</v>
      </c>
      <c r="B4" t="s">
        <v>14</v>
      </c>
      <c r="C4" s="1" t="s">
        <v>0</v>
      </c>
      <c r="D4" t="str">
        <f>C3&amp;C2</f>
        <v>NisDoğu</v>
      </c>
      <c r="F4" s="5" t="s">
        <v>5</v>
      </c>
      <c r="G4" s="6">
        <f>VLOOKUP($D$4,Data!$A$1:$G$49,MATCH(Hesap!F4,Data!$A$1:$G$1,0),0)</f>
        <v>0.43</v>
      </c>
      <c r="H4" s="6">
        <f t="shared" si="0"/>
        <v>0.57000000000000006</v>
      </c>
      <c r="J4" s="6">
        <f>VLOOKUP($D$4,Data!$A$1:$G$49,MATCH(Hesap!F4,Data!$A$1:$G$1,0),0)</f>
        <v>0.43</v>
      </c>
      <c r="K4" s="7">
        <f t="shared" si="1"/>
        <v>0.57000000000000006</v>
      </c>
      <c r="M4" t="str">
        <f t="shared" ref="M4:M14" si="2">N4&amp;$C$2</f>
        <v>ŞubDoğu</v>
      </c>
      <c r="N4" t="s">
        <v>18</v>
      </c>
      <c r="O4" s="6">
        <f>IF($N$1,VLOOKUP(M4,Data!$A:$G,4,0),NA())</f>
        <v>0.69</v>
      </c>
      <c r="P4" s="6">
        <f>IF($O$1,VLOOKUP(M4,Data!$A:$G,5,0))</f>
        <v>0.49</v>
      </c>
      <c r="Q4" s="6">
        <f>IF($P$1,VLOOKUP(M4,Data!$A:$G,6,0))</f>
        <v>0.33</v>
      </c>
      <c r="R4" s="6"/>
    </row>
    <row r="5" spans="1:18" x14ac:dyDescent="0.3">
      <c r="A5" t="s">
        <v>20</v>
      </c>
      <c r="B5" t="s">
        <v>16</v>
      </c>
      <c r="M5" t="str">
        <f t="shared" si="2"/>
        <v>MarDoğu</v>
      </c>
      <c r="N5" t="s">
        <v>19</v>
      </c>
      <c r="O5" s="6">
        <f>IF($N$1,VLOOKUP(M5,Data!$A:$G,4,0),NA())</f>
        <v>0.41</v>
      </c>
      <c r="P5" s="6">
        <f>IF($O$1,VLOOKUP(M5,Data!$A:$G,5,0))</f>
        <v>0.45</v>
      </c>
      <c r="Q5" s="6">
        <f>IF($P$1,VLOOKUP(M5,Data!$A:$G,6,0))</f>
        <v>0.42</v>
      </c>
      <c r="R5" s="6"/>
    </row>
    <row r="6" spans="1:18" x14ac:dyDescent="0.3">
      <c r="A6" t="s">
        <v>21</v>
      </c>
      <c r="M6" t="str">
        <f t="shared" si="2"/>
        <v>NisDoğu</v>
      </c>
      <c r="N6" t="s">
        <v>20</v>
      </c>
      <c r="O6" s="6">
        <f>IF($N$1,VLOOKUP(M6,Data!$A:$G,4,0),NA())</f>
        <v>0.43</v>
      </c>
      <c r="P6" s="6">
        <f>IF($O$1,VLOOKUP(M6,Data!$A:$G,5,0))</f>
        <v>0.67</v>
      </c>
      <c r="Q6" s="6">
        <f>IF($P$1,VLOOKUP(M6,Data!$A:$G,6,0))</f>
        <v>0.43</v>
      </c>
      <c r="R6" s="6"/>
    </row>
    <row r="7" spans="1:18" x14ac:dyDescent="0.3">
      <c r="A7" t="s">
        <v>22</v>
      </c>
      <c r="M7" t="str">
        <f t="shared" si="2"/>
        <v>MayDoğu</v>
      </c>
      <c r="N7" t="s">
        <v>21</v>
      </c>
      <c r="O7" s="6">
        <f>IF($N$1,VLOOKUP(M7,Data!$A:$G,4,0),NA())</f>
        <v>0.36</v>
      </c>
      <c r="P7" s="6">
        <f>IF($O$1,VLOOKUP(M7,Data!$A:$G,5,0))</f>
        <v>0.66</v>
      </c>
      <c r="Q7" s="6">
        <f>IF($P$1,VLOOKUP(M7,Data!$A:$G,6,0))</f>
        <v>0.6</v>
      </c>
      <c r="R7" s="6"/>
    </row>
    <row r="8" spans="1:18" x14ac:dyDescent="0.3">
      <c r="A8" t="s">
        <v>23</v>
      </c>
      <c r="M8" t="str">
        <f t="shared" si="2"/>
        <v>HazDoğu</v>
      </c>
      <c r="N8" t="s">
        <v>22</v>
      </c>
      <c r="O8" s="6">
        <f>IF($N$1,VLOOKUP(M8,Data!$A:$G,4,0),NA())</f>
        <v>0.3</v>
      </c>
      <c r="P8" s="6">
        <f>IF($O$1,VLOOKUP(M8,Data!$A:$G,5,0))</f>
        <v>0.7</v>
      </c>
      <c r="Q8" s="6">
        <f>IF($P$1,VLOOKUP(M8,Data!$A:$G,6,0))</f>
        <v>0.49</v>
      </c>
      <c r="R8" s="6"/>
    </row>
    <row r="9" spans="1:18" x14ac:dyDescent="0.3">
      <c r="A9" t="s">
        <v>24</v>
      </c>
      <c r="M9" t="str">
        <f t="shared" si="2"/>
        <v>TemDoğu</v>
      </c>
      <c r="N9" t="s">
        <v>23</v>
      </c>
      <c r="O9" s="6">
        <f>IF($N$1,VLOOKUP(M9,Data!$A:$G,4,0),NA())</f>
        <v>0.69</v>
      </c>
      <c r="P9" s="6">
        <f>IF($O$1,VLOOKUP(M9,Data!$A:$G,5,0))</f>
        <v>0.33</v>
      </c>
      <c r="Q9" s="6">
        <f>IF($P$1,VLOOKUP(M9,Data!$A:$G,6,0))</f>
        <v>0.67</v>
      </c>
      <c r="R9" s="6"/>
    </row>
    <row r="10" spans="1:18" x14ac:dyDescent="0.3">
      <c r="A10" t="s">
        <v>25</v>
      </c>
      <c r="M10" t="str">
        <f t="shared" si="2"/>
        <v>AğuDoğu</v>
      </c>
      <c r="N10" t="s">
        <v>24</v>
      </c>
      <c r="O10" s="6">
        <f>IF($N$1,VLOOKUP(M10,Data!$A:$G,4,0),NA())</f>
        <v>0.79</v>
      </c>
      <c r="P10" s="6">
        <f>IF($O$1,VLOOKUP(M10,Data!$A:$G,5,0))</f>
        <v>0.39</v>
      </c>
      <c r="Q10" s="6">
        <f>IF($P$1,VLOOKUP(M10,Data!$A:$G,6,0))</f>
        <v>0.79</v>
      </c>
      <c r="R10" s="6"/>
    </row>
    <row r="11" spans="1:18" x14ac:dyDescent="0.3">
      <c r="A11" t="s">
        <v>26</v>
      </c>
      <c r="M11" t="str">
        <f t="shared" si="2"/>
        <v>EylDoğu</v>
      </c>
      <c r="N11" t="s">
        <v>25</v>
      </c>
      <c r="O11" s="6">
        <f>IF($N$1,VLOOKUP(M11,Data!$A:$G,4,0),NA())</f>
        <v>0.3</v>
      </c>
      <c r="P11" s="6">
        <f>IF($O$1,VLOOKUP(M11,Data!$A:$G,5,0))</f>
        <v>0.36</v>
      </c>
      <c r="Q11" s="6">
        <f>IF($P$1,VLOOKUP(M11,Data!$A:$G,6,0))</f>
        <v>0.3</v>
      </c>
      <c r="R11" s="6"/>
    </row>
    <row r="12" spans="1:18" x14ac:dyDescent="0.3">
      <c r="A12" t="s">
        <v>27</v>
      </c>
      <c r="M12" t="str">
        <f t="shared" si="2"/>
        <v>EkiDoğu</v>
      </c>
      <c r="N12" t="s">
        <v>26</v>
      </c>
      <c r="O12" s="6">
        <f>IF($N$1,VLOOKUP(M12,Data!$A:$G,4,0),NA())</f>
        <v>0.39</v>
      </c>
      <c r="P12" s="6">
        <f>IF($O$1,VLOOKUP(M12,Data!$A:$G,5,0))</f>
        <v>0.38</v>
      </c>
      <c r="Q12" s="6">
        <f>IF($P$1,VLOOKUP(M12,Data!$A:$G,6,0))</f>
        <v>0.77</v>
      </c>
      <c r="R12" s="6"/>
    </row>
    <row r="13" spans="1:18" x14ac:dyDescent="0.3">
      <c r="A13" t="s">
        <v>28</v>
      </c>
      <c r="M13" t="str">
        <f t="shared" si="2"/>
        <v>KasDoğu</v>
      </c>
      <c r="N13" t="s">
        <v>27</v>
      </c>
      <c r="O13" s="6">
        <f>IF($N$1,VLOOKUP(M13,Data!$A:$G,4,0),NA())</f>
        <v>0.68</v>
      </c>
      <c r="P13" s="6">
        <f>IF($O$1,VLOOKUP(M13,Data!$A:$G,5,0))</f>
        <v>0.38</v>
      </c>
      <c r="Q13" s="6">
        <f>IF($P$1,VLOOKUP(M13,Data!$A:$G,6,0))</f>
        <v>0.69</v>
      </c>
      <c r="R13" s="6"/>
    </row>
    <row r="14" spans="1:18" x14ac:dyDescent="0.3">
      <c r="M14" t="str">
        <f t="shared" si="2"/>
        <v>AraDoğu</v>
      </c>
      <c r="N14" t="s">
        <v>28</v>
      </c>
      <c r="O14" s="6">
        <f>IF($N$1,VLOOKUP(M14,Data!$A:$G,4,0),NA())</f>
        <v>0.56000000000000005</v>
      </c>
      <c r="P14" s="6">
        <f>IF($O$1,VLOOKUP(M14,Data!$A:$G,5,0))</f>
        <v>0.73</v>
      </c>
      <c r="Q14" s="6">
        <f>IF($P$1,VLOOKUP(M14,Data!$A:$G,6,0))</f>
        <v>0.78</v>
      </c>
      <c r="R1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5"/>
  <sheetViews>
    <sheetView showGridLines="0" zoomScale="85" zoomScaleNormal="85" workbookViewId="0">
      <selection activeCell="B27" sqref="B27"/>
    </sheetView>
  </sheetViews>
  <sheetFormatPr defaultRowHeight="14.4" x14ac:dyDescent="0.3"/>
  <sheetData>
    <row r="1" spans="1:14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6"/>
      <c r="K14" s="15"/>
      <c r="L14" s="15"/>
      <c r="M14" s="15"/>
      <c r="N14" s="15"/>
    </row>
    <row r="15" spans="1:14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Option Button 1">
              <controlPr defaultSize="0" autoFill="0" autoLine="0" autoPict="0">
                <anchor moveWithCells="1">
                  <from>
                    <xdr:col>0</xdr:col>
                    <xdr:colOff>60960</xdr:colOff>
                    <xdr:row>5</xdr:row>
                    <xdr:rowOff>30480</xdr:rowOff>
                  </from>
                  <to>
                    <xdr:col>1</xdr:col>
                    <xdr:colOff>121920</xdr:colOff>
                    <xdr:row>6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Option Button 2">
              <controlPr defaultSize="0" autoFill="0" autoLine="0" autoPict="0">
                <anchor moveWithCells="1">
                  <from>
                    <xdr:col>0</xdr:col>
                    <xdr:colOff>68580</xdr:colOff>
                    <xdr:row>6</xdr:row>
                    <xdr:rowOff>137160</xdr:rowOff>
                  </from>
                  <to>
                    <xdr:col>1</xdr:col>
                    <xdr:colOff>137160</xdr:colOff>
                    <xdr:row>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Option Button 3">
              <controlPr defaultSize="0" autoFill="0" autoLine="0" autoPict="0">
                <anchor moveWithCells="1">
                  <from>
                    <xdr:col>0</xdr:col>
                    <xdr:colOff>68580</xdr:colOff>
                    <xdr:row>7</xdr:row>
                    <xdr:rowOff>175260</xdr:rowOff>
                  </from>
                  <to>
                    <xdr:col>1</xdr:col>
                    <xdr:colOff>137160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Option Button 4">
              <controlPr defaultSize="0" autoFill="0" autoLine="0" autoPict="0">
                <anchor moveWithCells="1">
                  <from>
                    <xdr:col>0</xdr:col>
                    <xdr:colOff>68580</xdr:colOff>
                    <xdr:row>8</xdr:row>
                    <xdr:rowOff>182880</xdr:rowOff>
                  </from>
                  <to>
                    <xdr:col>1</xdr:col>
                    <xdr:colOff>137160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8" name="Drop Down 6">
              <controlPr defaultSize="0" autoLine="0" autoPict="0">
                <anchor moveWithCells="1">
                  <from>
                    <xdr:col>0</xdr:col>
                    <xdr:colOff>30480</xdr:colOff>
                    <xdr:row>12</xdr:row>
                    <xdr:rowOff>182880</xdr:rowOff>
                  </from>
                  <to>
                    <xdr:col>1</xdr:col>
                    <xdr:colOff>541020</xdr:colOff>
                    <xdr:row>14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9" name="Check Box 11">
              <controlPr defaultSize="0" autoFill="0" autoLine="0" autoPict="0">
                <anchor moveWithCells="1">
                  <from>
                    <xdr:col>0</xdr:col>
                    <xdr:colOff>106680</xdr:colOff>
                    <xdr:row>16</xdr:row>
                    <xdr:rowOff>175260</xdr:rowOff>
                  </from>
                  <to>
                    <xdr:col>1</xdr:col>
                    <xdr:colOff>487680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0" name="Check Box 14">
              <controlPr defaultSize="0" autoFill="0" autoLine="0" autoPict="0">
                <anchor moveWithCells="1">
                  <from>
                    <xdr:col>0</xdr:col>
                    <xdr:colOff>106680</xdr:colOff>
                    <xdr:row>18</xdr:row>
                    <xdr:rowOff>38100</xdr:rowOff>
                  </from>
                  <to>
                    <xdr:col>1</xdr:col>
                    <xdr:colOff>487680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1" name="Check Box 15">
              <controlPr defaultSize="0" autoFill="0" autoLine="0" autoPict="0">
                <anchor moveWithCells="1">
                  <from>
                    <xdr:col>0</xdr:col>
                    <xdr:colOff>106680</xdr:colOff>
                    <xdr:row>19</xdr:row>
                    <xdr:rowOff>106680</xdr:rowOff>
                  </from>
                  <to>
                    <xdr:col>1</xdr:col>
                    <xdr:colOff>487680</xdr:colOff>
                    <xdr:row>20</xdr:row>
                    <xdr:rowOff>121920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Data</vt:lpstr>
      <vt:lpstr>Çalışanlar</vt:lpstr>
      <vt:lpstr>Hesap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</dc:creator>
  <cp:lastModifiedBy>Mehmet</cp:lastModifiedBy>
  <dcterms:created xsi:type="dcterms:W3CDTF">2022-06-03T09:47:51Z</dcterms:created>
  <dcterms:modified xsi:type="dcterms:W3CDTF">2025-12-22T00:07:43Z</dcterms:modified>
</cp:coreProperties>
</file>