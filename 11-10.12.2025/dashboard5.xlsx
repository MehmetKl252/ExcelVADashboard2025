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DB0C115-7EC0-4AEC-99A3-F02ABB8249AD}" xr6:coauthVersionLast="47" xr6:coauthVersionMax="47" xr10:uidLastSave="{00000000-0000-0000-0000-000000000000}"/>
  <bookViews>
    <workbookView xWindow="-120" yWindow="-120" windowWidth="24240" windowHeight="13140" activeTab="2" xr2:uid="{6B745CBF-D3DA-4DBE-90C2-302F700E0111}"/>
  </bookViews>
  <sheets>
    <sheet name="Resim" sheetId="2" r:id="rId1"/>
    <sheet name="Sayfa1" sheetId="1" r:id="rId2"/>
    <sheet name="Hesaplamalar" sheetId="3" r:id="rId3"/>
  </sheets>
  <externalReferences>
    <externalReference r:id="rId4"/>
  </externalReferences>
  <definedNames>
    <definedName name="altAralık">#REF!</definedName>
    <definedName name="ortalama">#REF!</definedName>
    <definedName name="resimGetir">INDEX([1]Veriler!#REF!,MATCH(#REF!,[1]Veriler!#REF!,0))</definedName>
    <definedName name="üstAralı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O4" i="1" s="1"/>
  <c r="D4" i="3" s="1"/>
  <c r="O3" i="1" l="1"/>
  <c r="D3" i="3" s="1"/>
  <c r="O6" i="1"/>
  <c r="D6" i="3" s="1"/>
  <c r="O5" i="1"/>
  <c r="D5" i="3" s="1"/>
  <c r="D10" i="3" l="1"/>
  <c r="D9" i="3" l="1"/>
  <c r="D11" i="3"/>
  <c r="G3" i="3" l="1"/>
  <c r="G4" i="3"/>
  <c r="G6" i="3"/>
  <c r="G5" i="3"/>
  <c r="H4" i="3"/>
  <c r="H5" i="3"/>
  <c r="H3" i="3"/>
  <c r="H6" i="3"/>
  <c r="F4" i="3"/>
  <c r="F5" i="3"/>
  <c r="F3" i="3"/>
  <c r="F6" i="3"/>
</calcChain>
</file>

<file path=xl/sharedStrings.xml><?xml version="1.0" encoding="utf-8"?>
<sst xmlns="http://schemas.openxmlformats.org/spreadsheetml/2006/main" count="32" uniqueCount="23">
  <si>
    <t>Firma</t>
  </si>
  <si>
    <t>Oca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</si>
  <si>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</si>
  <si>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</si>
  <si>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</si>
  <si>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</si>
  <si>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</si>
  <si>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</si>
  <si>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</si>
  <si>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</si>
  <si>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</si>
  <si>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</si>
  <si>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</si>
  <si>
    <t>Dönem Sonuna Kadar Satış</t>
  </si>
  <si>
    <t>Alarso</t>
  </si>
  <si>
    <t>Stf Kargo</t>
  </si>
  <si>
    <t>Umut İnşaat</t>
  </si>
  <si>
    <t>Zorlu</t>
  </si>
  <si>
    <t>DÖNEM SEÇ</t>
  </si>
  <si>
    <t>alt değer</t>
  </si>
  <si>
    <t>ortalama</t>
  </si>
  <si>
    <t>üst değer</t>
  </si>
  <si>
    <t>Dönem satış tutarı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</si>
</sst>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* #,##0.00\ [$₺-41F]_-;\-* #,##0.00\ [$₺-41F]_-;_-* &quot;-&quot;??\ [$₺-41F]_-;_-@_-"/>
    <numFmt numFmtId="165" formatCode="_-&quot;₺&quot;* #,##0_-;\-&quot;₺&quot;* #,##0_-;_-&quot;₺&quot;* &quot;-&quot;??_-;_-@_-"/>
  </numFmts>
  <fonts count="1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14"/>
      <color rgb="FF222222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theme="1"/>
      <name val="Webdings"/>
      <family val="1"/>
      <charset val="2"/>
    </font>
    <font>
      <sz val="16"/>
      <color rgb="FFFF0000"/>
      <name val="Webdings"/>
      <family val="1"/>
      <charset val="2"/>
    </font>
    <font>
      <sz val="16"/>
      <color rgb="FFFFC000"/>
      <name val="Webdings"/>
      <family val="1"/>
      <charset val="2"/>
    </font>
    <font>
      <sz val="16"/>
      <color rgb="FF00B050"/>
      <name val="Web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3" fillId="0" borderId="0" xfId="2" applyFont="1"/>
    <xf numFmtId="0" fontId="2" fillId="0" borderId="0" xfId="2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165" fontId="5" fillId="0" borderId="1" xfId="1" applyNumberFormat="1" applyFont="1" applyBorder="1"/>
    <xf numFmtId="0" fontId="5" fillId="0" borderId="0" xfId="0" applyFont="1" applyFill="1" applyBorder="1"/>
    <xf numFmtId="0" fontId="5" fillId="0" borderId="1" xfId="0" applyFont="1" applyBorder="1" applyAlignment="1">
      <alignment horizontal="center" vertical="center" wrapText="1"/>
    </xf>
    <xf numFmtId="165" fontId="4" fillId="0" borderId="0" xfId="0" applyNumberFormat="1" applyFont="1"/>
    <xf numFmtId="0" fontId="6" fillId="0" borderId="0" xfId="0" applyFont="1"/>
    <xf numFmtId="0" fontId="5" fillId="0" borderId="1" xfId="0" applyFont="1" applyFill="1" applyBorder="1" applyAlignment="1">
      <alignment vertical="center"/>
    </xf>
    <xf numFmtId="165" fontId="0" fillId="2" borderId="0" xfId="0" applyNumberFormat="1" applyFill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 xr:uid="{26B2D4F3-9577-4330-82A4-F454E1A91461}"/>
    <cellStyle name="ParaBirimi" xfId="1" builtinId="4"/>
  </cellStyles>
  <dxfs count="2"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11430</xdr:colOff>
      <xdr:row>8</xdr:row>
      <xdr:rowOff>3255</xdr:rowOff>
    </xdr:from>
    <xdr:to>
      <xdr:col>16</xdr:col>
      <xdr:colOff>361950</xdr:colOff>
      <xdr:row>19</xdr:row>
      <xdr:rowOff>62865</xdr:rowOff>
    </xdr:to>
    <xdr:pic>
      <xdr:nvPicPr>
        <xdr:cNvPr id="2" name="Resim 1" descr="Image result for traffic light icon png">
          <a:extLst>
            <a:ext uri="{FF2B5EF4-FFF2-40B4-BE49-F238E27FC236}">
              <a16:creationId xmlns:a16="http://schemas.microsoft.com/office/drawing/2014/main" id="{27EF6968-A651-46FF-A12F-E002847D0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5830" y="1365330"/>
          <a:ext cx="1569720" cy="1840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r&#351;iv\Veri%20Analizi%20ve%20Dashboard%20Raporlama%2018.12.2024%20Bak&#305;n&#305;z\dashboard%20raporlama%20&#246;rnek%20ar&#351;ivi\9-&#231;&#246;z&#252;m%20hen&#252;z%20yap&#305;lmad&#305;%20yap&#305;labil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iler"/>
      <sheetName val="hesaplamalar"/>
      <sheetName val="Resim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114C-FA3D-4DFF-83F3-EB4CE9EA8C60}">
  <dimension ref="D4"/>
  <sheetViews>
    <sheetView showGridLines="0" topLeftCell="I1" workbookViewId="0">
      <selection activeCell="P28" sqref="P28"/>
    </sheetView>
  </sheetViews>
  <sheetFormatPr defaultRowHeight="12.75" x14ac:dyDescent="0.2"/>
  <cols>
    <col min="1" max="16384" width="9.140625" style="4"/>
  </cols>
  <sheetData>
    <row r="4" spans="4:4" ht="18" x14ac:dyDescent="0.25">
      <c r="D4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49D6-4276-483B-BBE5-8416288BAF9A}">
  <dimension ref="B2:O8"/>
  <sheetViews>
    <sheetView zoomScale="115" zoomScaleNormal="115" workbookViewId="0">
      <selection activeCell="C8" sqref="C8"/>
    </sheetView>
  </sheetViews>
  <sheetFormatPr defaultRowHeight="15" x14ac:dyDescent="0.25"/>
  <cols>
    <col min="2" max="2" width="11.5703125" bestFit="1" customWidth="1"/>
    <col min="3" max="14" width="10.140625" bestFit="1" customWidth="1"/>
    <col min="15" max="15" width="11.7109375" customWidth="1"/>
  </cols>
  <sheetData>
    <row r="2" spans="2:15" ht="45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6" t="s">
        <v>13</v>
      </c>
    </row>
    <row r="3" spans="2:15" x14ac:dyDescent="0.25">
      <c r="B3" s="1" t="s">
        <v>14</v>
      </c>
      <c r="C3" s="2">
        <v>655</v>
      </c>
      <c r="D3" s="2">
        <v>66</v>
      </c>
      <c r="E3" s="2">
        <v>120</v>
      </c>
      <c r="F3" s="2">
        <v>79</v>
      </c>
      <c r="G3" s="2">
        <v>198</v>
      </c>
      <c r="H3" s="2">
        <v>130</v>
      </c>
      <c r="I3" s="2">
        <v>188</v>
      </c>
      <c r="J3" s="2">
        <v>130</v>
      </c>
      <c r="K3" s="2">
        <v>120</v>
      </c>
      <c r="L3" s="2">
        <v>149</v>
      </c>
      <c r="M3" s="2">
        <v>260</v>
      </c>
      <c r="N3" s="2">
        <v>115</v>
      </c>
      <c r="O3" s="2">
        <f ca="1">SUM(OFFSET(B3,,1,,$D$8))</f>
        <v>2210</v>
      </c>
    </row>
    <row r="4" spans="2:15" x14ac:dyDescent="0.25">
      <c r="B4" s="1" t="s">
        <v>15</v>
      </c>
      <c r="C4" s="2">
        <v>140</v>
      </c>
      <c r="D4" s="2">
        <v>44</v>
      </c>
      <c r="E4" s="2">
        <v>170</v>
      </c>
      <c r="F4" s="2">
        <v>140</v>
      </c>
      <c r="G4" s="2">
        <v>292</v>
      </c>
      <c r="H4" s="2">
        <v>99</v>
      </c>
      <c r="I4" s="2">
        <v>199</v>
      </c>
      <c r="J4" s="2">
        <v>258</v>
      </c>
      <c r="K4" s="2">
        <v>205</v>
      </c>
      <c r="L4" s="2">
        <v>182</v>
      </c>
      <c r="M4" s="2">
        <v>178</v>
      </c>
      <c r="N4" s="2">
        <v>104</v>
      </c>
      <c r="O4" s="2">
        <f t="shared" ref="O4:O6" ca="1" si="0">SUM(OFFSET(B4,,1,,$D$8))</f>
        <v>2011</v>
      </c>
    </row>
    <row r="5" spans="2:15" x14ac:dyDescent="0.25">
      <c r="B5" s="1" t="s">
        <v>16</v>
      </c>
      <c r="C5" s="2">
        <v>223</v>
      </c>
      <c r="D5" s="2">
        <v>121</v>
      </c>
      <c r="E5" s="2">
        <v>87</v>
      </c>
      <c r="F5" s="2">
        <v>235</v>
      </c>
      <c r="G5" s="2">
        <v>155</v>
      </c>
      <c r="H5" s="2">
        <v>96</v>
      </c>
      <c r="I5" s="2">
        <v>134</v>
      </c>
      <c r="J5" s="2">
        <v>213</v>
      </c>
      <c r="K5" s="2">
        <v>103</v>
      </c>
      <c r="L5" s="2">
        <v>217</v>
      </c>
      <c r="M5" s="2">
        <v>139</v>
      </c>
      <c r="N5" s="2">
        <v>298</v>
      </c>
      <c r="O5" s="2">
        <f t="shared" ca="1" si="0"/>
        <v>2021</v>
      </c>
    </row>
    <row r="6" spans="2:15" x14ac:dyDescent="0.25">
      <c r="B6" s="1" t="s">
        <v>17</v>
      </c>
      <c r="C6" s="2">
        <v>44</v>
      </c>
      <c r="D6" s="2">
        <v>44</v>
      </c>
      <c r="E6" s="2">
        <v>207</v>
      </c>
      <c r="F6" s="2">
        <v>281</v>
      </c>
      <c r="G6" s="2">
        <v>259</v>
      </c>
      <c r="H6" s="2">
        <v>225</v>
      </c>
      <c r="I6" s="2">
        <v>186</v>
      </c>
      <c r="J6" s="2">
        <v>287</v>
      </c>
      <c r="K6" s="2">
        <v>129</v>
      </c>
      <c r="L6" s="2">
        <v>291</v>
      </c>
      <c r="M6" s="2">
        <v>186</v>
      </c>
      <c r="N6" s="2">
        <v>211</v>
      </c>
      <c r="O6" s="2">
        <f t="shared" ca="1" si="0"/>
        <v>2350</v>
      </c>
    </row>
    <row r="8" spans="2:15" x14ac:dyDescent="0.25">
      <c r="B8" t="s">
        <v>18</v>
      </c>
      <c r="C8" t="s">
        <v>12</v>
      </c>
      <c r="D8">
        <f>MATCH(C8,C2:N2,0)</f>
        <v>12</v>
      </c>
    </row>
  </sheetData>
  <conditionalFormatting sqref="C2:N6">
    <cfRule type="expression" dxfId="1" priority="1">
      <formula>COLUMN(C$2)-2&lt;=MATCH(#REF!,$C$2:$N$2,0)</formula>
    </cfRule>
  </conditionalFormatting>
  <conditionalFormatting sqref="C3:N6">
    <cfRule type="expression" dxfId="0" priority="2">
      <formula>COLUMN(C$2)-2&lt;=MATCH(#REF!,$C$2:$N$2,0)</formula>
    </cfRule>
  </conditionalFormatting>
  <dataValidations count="1">
    <dataValidation type="list" allowBlank="1" showInputMessage="1" showErrorMessage="1" sqref="C8" xr:uid="{25458971-5111-4302-B8A8-FC713787140B}">
      <formula1>$C$2:$N$2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8B8E-A0A8-4623-8D97-E6FA44214FA9}">
  <dimension ref="C2:H13"/>
  <sheetViews>
    <sheetView tabSelected="1" workbookViewId="0">
      <selection activeCell="F4" sqref="F4"/>
    </sheetView>
  </sheetViews>
  <sheetFormatPr defaultRowHeight="15" x14ac:dyDescent="0.25"/>
  <cols>
    <col min="3" max="3" width="16.5703125" bestFit="1" customWidth="1"/>
    <col min="4" max="4" width="15.7109375" bestFit="1" customWidth="1"/>
    <col min="6" max="7" width="12.28515625" bestFit="1" customWidth="1"/>
    <col min="8" max="8" width="12.85546875" bestFit="1" customWidth="1"/>
  </cols>
  <sheetData>
    <row r="2" spans="3:8" ht="42" x14ac:dyDescent="0.25">
      <c r="C2" s="7" t="s">
        <v>0</v>
      </c>
      <c r="D2" s="11" t="s">
        <v>22</v>
      </c>
      <c r="F2" s="14" t="s">
        <v>19</v>
      </c>
      <c r="G2" s="14" t="s">
        <v>20</v>
      </c>
      <c r="H2" s="14" t="s">
        <v>21</v>
      </c>
    </row>
    <row r="3" spans="3:8" ht="21" x14ac:dyDescent="0.35">
      <c r="C3" s="8" t="s">
        <v>14</v>
      </c>
      <c r="D3" s="9">
        <f ca="1">Sayfa1!O3</f>
        <v>2210</v>
      </c>
      <c r="F3" s="16" t="str">
        <f ca="1">IF(D3&lt;$D$9,"n","")</f>
        <v/>
      </c>
      <c r="G3" s="17" t="str">
        <f ca="1">IF(AND(D3&gt;$D$9,D3&lt;$D$11),"n","")</f>
        <v>n</v>
      </c>
      <c r="H3" s="18" t="str">
        <f ca="1">IF(D3&gt;$D$11,"n","")</f>
        <v/>
      </c>
    </row>
    <row r="4" spans="3:8" ht="21" x14ac:dyDescent="0.35">
      <c r="C4" s="8" t="s">
        <v>15</v>
      </c>
      <c r="D4" s="9">
        <f ca="1">Sayfa1!O4</f>
        <v>2011</v>
      </c>
      <c r="F4" s="16" t="str">
        <f t="shared" ref="F4:F6" ca="1" si="0">IF(D4&lt;$D$9,"n","")</f>
        <v/>
      </c>
      <c r="G4" s="17" t="str">
        <f t="shared" ref="G4:G6" ca="1" si="1">IF(AND(D4&gt;$D$9,D4&lt;$D$11),"n","")</f>
        <v>n</v>
      </c>
      <c r="H4" s="18" t="str">
        <f t="shared" ref="H4:H6" ca="1" si="2">IF(D4&gt;$D$11,"n","")</f>
        <v/>
      </c>
    </row>
    <row r="5" spans="3:8" ht="21" x14ac:dyDescent="0.35">
      <c r="C5" s="8" t="s">
        <v>16</v>
      </c>
      <c r="D5" s="9">
        <f ca="1">Sayfa1!O5</f>
        <v>2021</v>
      </c>
      <c r="F5" s="16" t="str">
        <f t="shared" ca="1" si="0"/>
        <v/>
      </c>
      <c r="G5" s="17" t="str">
        <f t="shared" ca="1" si="1"/>
        <v>n</v>
      </c>
      <c r="H5" s="18" t="str">
        <f t="shared" ca="1" si="2"/>
        <v/>
      </c>
    </row>
    <row r="6" spans="3:8" ht="21" x14ac:dyDescent="0.35">
      <c r="C6" s="8" t="s">
        <v>17</v>
      </c>
      <c r="D6" s="9">
        <f ca="1">Sayfa1!O6</f>
        <v>2350</v>
      </c>
      <c r="F6" s="16" t="str">
        <f t="shared" ca="1" si="0"/>
        <v/>
      </c>
      <c r="G6" s="17" t="str">
        <f t="shared" ca="1" si="1"/>
        <v>n</v>
      </c>
      <c r="H6" s="18" t="str">
        <f t="shared" ca="1" si="2"/>
        <v/>
      </c>
    </row>
    <row r="9" spans="3:8" ht="21" x14ac:dyDescent="0.35">
      <c r="C9" s="10" t="s">
        <v>19</v>
      </c>
      <c r="D9" s="15">
        <f ca="1">D10*0.8</f>
        <v>1718.4</v>
      </c>
    </row>
    <row r="10" spans="3:8" ht="21" x14ac:dyDescent="0.35">
      <c r="C10" s="10" t="s">
        <v>20</v>
      </c>
      <c r="D10" s="12">
        <f ca="1">AVERAGE(D3:D6)</f>
        <v>2148</v>
      </c>
    </row>
    <row r="11" spans="3:8" ht="21" x14ac:dyDescent="0.35">
      <c r="C11" s="10" t="s">
        <v>21</v>
      </c>
      <c r="D11" s="15">
        <f ca="1">D10*1.2</f>
        <v>2577.6</v>
      </c>
    </row>
    <row r="12" spans="3:8" ht="15.75" x14ac:dyDescent="0.3">
      <c r="G12" s="13"/>
    </row>
    <row r="13" spans="3:8" ht="15.75" x14ac:dyDescent="0.3">
      <c r="G13" s="1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Resim</vt:lpstr>
      <vt:lpstr>Sayfa1</vt:lpstr>
      <vt:lpstr>Hesaplamalar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2025-12-09T11:13:12Z</dcterms:created>
  <dcterms:modified xsi:type="dcterms:W3CDTF">2025-12-09T13:41:54Z</dcterms:modified>
</cp:coreProperties>
</file>