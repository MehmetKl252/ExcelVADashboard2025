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xr:revisionPtr revIDLastSave="0" documentId="8_{BFC41BBF-B842-4E41-96B0-1A9F7395707D}" xr6:coauthVersionLast="47" xr6:coauthVersionMax="47" xr10:uidLastSave="{00000000-0000-0000-0000-000000000000}"/>
  <bookViews>
    <workbookView xWindow="-120" yWindow="660" windowWidth="24240" windowHeight="12360" xr2:uid="{96843DC9-1CFE-46DF-89E3-9AA2ADB78F3D}"/>
  </bookViews>
  <sheets>
    <sheet name="Sayfa2" sheetId="1" r:id="rId1"/>
  </sheets>
  <definedNames>
    <definedName name="_xlnm._FilterDatabase" localSheetId="0" hidden="1">Sayfa2!$A$1:$D$1338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5" i="1" l="1"/>
  <c r="G18" i="1" l="1"/>
  <c r="H18" i="1" s="1"/>
  <c r="H17" i="1"/>
  <c r="H14" i="1"/>
  <c r="H16" i="1"/>
</calcChain>
</file>

<file path=xl/sharedStrings.xml><?xml version="1.0" encoding="utf-8"?>
<sst xmlns="http://schemas.openxmlformats.org/spreadsheetml/2006/main" count="48" uniqueCount="26">
  <si>
    <t>Tarih</t>
  </si>
  <si>
    <t>Temsilci</t>
  </si>
  <si>
    <t>Firma</t>
  </si>
  <si>
    <t>Tutar</t>
  </si>
  <si>
    <t xml:space="preserve">Elektra </t>
  </si>
  <si>
    <t>Hasan Berber</t>
  </si>
  <si>
    <t xml:space="preserve">En yüksek </t>
  </si>
  <si>
    <t>Temsilci adı</t>
  </si>
  <si>
    <t>En düşük</t>
  </si>
  <si>
    <t>Sinan Karabulut</t>
  </si>
  <si>
    <t>Erbakır</t>
  </si>
  <si>
    <t>Yavuzalp Pekel</t>
  </si>
  <si>
    <t>Anadolum</t>
  </si>
  <si>
    <t>Tolga Talay</t>
  </si>
  <si>
    <t>Karsan</t>
  </si>
  <si>
    <t>Cihan Demirci</t>
  </si>
  <si>
    <t>Humanica</t>
  </si>
  <si>
    <t>Ece Yılmaz</t>
  </si>
  <si>
    <t>Antalya Tarım</t>
  </si>
  <si>
    <t>Nafia Çakır</t>
  </si>
  <si>
    <t>İstanbul Nakliyat</t>
  </si>
  <si>
    <t>Ha-re Tekstil A.Ş</t>
  </si>
  <si>
    <t>Ali Özkanlı</t>
  </si>
  <si>
    <t>Şerife Çeliker</t>
  </si>
  <si>
    <t>Ömer Saygın</t>
  </si>
  <si>
    <t>not: ctrl+shift+! = para birimi biçimini verir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</si>
</sst>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_T_L_-;\-* #,##0.00\ _T_L_-;_-* &quot;-&quot;??\ _T_L_-;_-@_-"/>
  </numFmts>
  <fonts count="6" x14ac:knownFonts="1"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rgb="FF006100"/>
      <name val="Calibri"/>
      <family val="2"/>
      <charset val="162"/>
      <scheme val="minor"/>
    </font>
    <font>
      <sz val="11"/>
      <color rgb="FFFF0000"/>
      <name val="Calibri"/>
      <family val="2"/>
      <charset val="162"/>
      <scheme val="minor"/>
    </font>
    <font>
      <b/>
      <sz val="11"/>
      <color rgb="FF006100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9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2" fillId="2" borderId="0" applyNumberFormat="0" applyBorder="0" applyAlignment="0" applyProtection="0"/>
  </cellStyleXfs>
  <cellXfs count="12">
    <xf numFmtId="0" fontId="0" fillId="0" borderId="0" xfId="0"/>
    <xf numFmtId="14" fontId="4" fillId="2" borderId="2" xfId="2" applyNumberFormat="1" applyFont="1" applyBorder="1" applyAlignment="1">
      <alignment horizontal="center" vertical="center"/>
    </xf>
    <xf numFmtId="0" fontId="4" fillId="2" borderId="1" xfId="2" applyFont="1" applyBorder="1" applyAlignment="1">
      <alignment horizontal="center" vertical="center"/>
    </xf>
    <xf numFmtId="164" fontId="4" fillId="2" borderId="2" xfId="1" applyFont="1" applyFill="1" applyBorder="1" applyAlignment="1">
      <alignment horizontal="center" vertical="center"/>
    </xf>
    <xf numFmtId="0" fontId="3" fillId="0" borderId="0" xfId="0" applyFont="1"/>
    <xf numFmtId="14" fontId="5" fillId="0" borderId="2" xfId="0" applyNumberFormat="1" applyFont="1" applyBorder="1"/>
    <xf numFmtId="0" fontId="5" fillId="0" borderId="2" xfId="0" applyFont="1" applyBorder="1"/>
    <xf numFmtId="164" fontId="5" fillId="0" borderId="2" xfId="1" applyFont="1" applyBorder="1"/>
    <xf numFmtId="4" fontId="3" fillId="0" borderId="0" xfId="0" applyNumberFormat="1" applyFont="1"/>
    <xf numFmtId="0" fontId="0" fillId="3" borderId="2" xfId="0" applyFill="1" applyBorder="1"/>
    <xf numFmtId="4" fontId="0" fillId="0" borderId="0" xfId="0" applyNumberFormat="1"/>
    <xf numFmtId="4" fontId="0" fillId="3" borderId="2" xfId="0" applyNumberFormat="1" applyFill="1" applyBorder="1"/>
  </cellXfs>
  <cellStyles count="3">
    <cellStyle name="İyi" xfId="2" builtinId="26"/>
    <cellStyle name="Normal" xfId="0" builtinId="0"/>
    <cellStyle name="Virgül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FB2B73-6E59-4F86-AF68-70B7B48045D6}">
  <dimension ref="A1:K21"/>
  <sheetViews>
    <sheetView tabSelected="1" zoomScale="115" zoomScaleNormal="115" workbookViewId="0">
      <selection activeCell="J4" sqref="J4"/>
    </sheetView>
  </sheetViews>
  <sheetFormatPr defaultRowHeight="15" x14ac:dyDescent="0.25"/>
  <cols>
    <col min="1" max="1" width="13.28515625" customWidth="1"/>
    <col min="2" max="2" width="20.5703125" customWidth="1"/>
    <col min="3" max="3" width="16.7109375" customWidth="1"/>
    <col min="4" max="4" width="16.28515625" bestFit="1" customWidth="1"/>
    <col min="5" max="5" width="10" style="4" bestFit="1" customWidth="1"/>
    <col min="7" max="7" width="13.140625" bestFit="1" customWidth="1"/>
    <col min="8" max="8" width="14.28515625" bestFit="1" customWidth="1"/>
    <col min="9" max="9" width="1.85546875" customWidth="1"/>
    <col min="10" max="10" width="10" bestFit="1" customWidth="1"/>
    <col min="11" max="11" width="16" bestFit="1" customWidth="1"/>
  </cols>
  <sheetData>
    <row r="1" spans="1:11" x14ac:dyDescent="0.25">
      <c r="A1" s="1" t="s">
        <v>0</v>
      </c>
      <c r="B1" s="2" t="s">
        <v>1</v>
      </c>
      <c r="C1" s="2" t="s">
        <v>2</v>
      </c>
      <c r="D1" s="3" t="s">
        <v>3</v>
      </c>
      <c r="G1" t="s">
        <v>4</v>
      </c>
    </row>
    <row r="2" spans="1:11" x14ac:dyDescent="0.25">
      <c r="A2" s="5">
        <v>42736</v>
      </c>
      <c r="B2" s="6" t="s">
        <v>5</v>
      </c>
      <c r="C2" s="6" t="s">
        <v>4</v>
      </c>
      <c r="D2" s="7">
        <v>23889</v>
      </c>
      <c r="E2" s="8"/>
      <c r="G2" t="s">
        <v>6</v>
      </c>
      <c r="H2" t="s">
        <v>7</v>
      </c>
      <c r="I2" s="9"/>
      <c r="J2" t="s">
        <v>8</v>
      </c>
      <c r="K2" t="s">
        <v>7</v>
      </c>
    </row>
    <row r="3" spans="1:11" x14ac:dyDescent="0.25">
      <c r="A3" s="5">
        <v>42736</v>
      </c>
      <c r="B3" s="6" t="s">
        <v>9</v>
      </c>
      <c r="C3" s="6" t="s">
        <v>10</v>
      </c>
      <c r="D3" s="7">
        <v>16613</v>
      </c>
      <c r="E3" s="8"/>
      <c r="G3" s="10"/>
      <c r="H3" s="10"/>
      <c r="I3" s="11"/>
      <c r="J3" s="10"/>
    </row>
    <row r="4" spans="1:11" x14ac:dyDescent="0.25">
      <c r="A4" s="5">
        <v>42736</v>
      </c>
      <c r="B4" s="6" t="s">
        <v>11</v>
      </c>
      <c r="C4" s="6" t="s">
        <v>12</v>
      </c>
      <c r="D4" s="7">
        <v>23980</v>
      </c>
      <c r="E4" s="8"/>
      <c r="G4" s="10"/>
      <c r="H4" s="10"/>
      <c r="I4" s="11"/>
      <c r="J4" s="10"/>
    </row>
    <row r="5" spans="1:11" x14ac:dyDescent="0.25">
      <c r="A5" s="5">
        <v>42736</v>
      </c>
      <c r="B5" s="6" t="s">
        <v>13</v>
      </c>
      <c r="C5" s="6" t="s">
        <v>14</v>
      </c>
      <c r="D5" s="7">
        <v>38681</v>
      </c>
      <c r="E5" s="8"/>
      <c r="G5" s="10"/>
      <c r="H5" s="10"/>
      <c r="I5" s="11"/>
      <c r="J5" s="10"/>
    </row>
    <row r="6" spans="1:11" x14ac:dyDescent="0.25">
      <c r="A6" s="5">
        <v>42737</v>
      </c>
      <c r="B6" s="6" t="s">
        <v>15</v>
      </c>
      <c r="C6" s="6" t="s">
        <v>16</v>
      </c>
      <c r="D6" s="7">
        <v>21437</v>
      </c>
      <c r="E6" s="8"/>
      <c r="G6" s="10"/>
      <c r="H6" s="10"/>
      <c r="I6" s="11"/>
      <c r="J6" s="10"/>
    </row>
    <row r="7" spans="1:11" x14ac:dyDescent="0.25">
      <c r="A7" s="5">
        <v>42737</v>
      </c>
      <c r="B7" s="6" t="s">
        <v>17</v>
      </c>
      <c r="C7" s="6" t="s">
        <v>4</v>
      </c>
      <c r="D7" s="7">
        <v>35537</v>
      </c>
      <c r="E7" s="8"/>
      <c r="G7" s="10"/>
      <c r="H7" s="10"/>
      <c r="I7" s="11"/>
      <c r="J7" s="10"/>
    </row>
    <row r="8" spans="1:11" x14ac:dyDescent="0.25">
      <c r="A8" s="5">
        <v>42737</v>
      </c>
      <c r="B8" s="6" t="s">
        <v>19</v>
      </c>
      <c r="C8" s="6" t="s">
        <v>12</v>
      </c>
      <c r="D8" s="7">
        <v>32154</v>
      </c>
      <c r="E8" s="8"/>
      <c r="G8" s="10"/>
      <c r="H8" s="10"/>
      <c r="I8" s="11"/>
      <c r="J8" s="10"/>
    </row>
    <row r="9" spans="1:11" x14ac:dyDescent="0.25">
      <c r="A9" s="5">
        <v>42737</v>
      </c>
      <c r="B9" s="6" t="s">
        <v>13</v>
      </c>
      <c r="C9" s="6" t="s">
        <v>18</v>
      </c>
      <c r="D9" s="7">
        <v>25846</v>
      </c>
      <c r="E9" s="8"/>
      <c r="G9" s="10"/>
      <c r="H9" s="10"/>
      <c r="I9" s="11"/>
      <c r="J9" s="10"/>
    </row>
    <row r="10" spans="1:11" x14ac:dyDescent="0.25">
      <c r="A10" s="5">
        <v>42738</v>
      </c>
      <c r="B10" s="6" t="s">
        <v>5</v>
      </c>
      <c r="C10" s="6" t="s">
        <v>18</v>
      </c>
      <c r="D10" s="7">
        <v>36515</v>
      </c>
      <c r="E10" s="8"/>
      <c r="G10" s="10"/>
      <c r="H10" s="10"/>
      <c r="I10" s="11"/>
      <c r="J10" s="10"/>
    </row>
    <row r="11" spans="1:11" x14ac:dyDescent="0.25">
      <c r="A11" s="5">
        <v>42738</v>
      </c>
      <c r="B11" s="6" t="s">
        <v>22</v>
      </c>
      <c r="C11" s="6" t="s">
        <v>14</v>
      </c>
      <c r="D11" s="7">
        <v>18952</v>
      </c>
      <c r="E11" s="8"/>
      <c r="G11" s="10"/>
      <c r="H11" s="10"/>
      <c r="I11" s="11"/>
      <c r="J11" s="10"/>
    </row>
    <row r="12" spans="1:11" x14ac:dyDescent="0.25">
      <c r="A12" s="5">
        <v>42738</v>
      </c>
      <c r="B12" s="6" t="s">
        <v>5</v>
      </c>
      <c r="C12" s="6" t="s">
        <v>14</v>
      </c>
      <c r="D12" s="7">
        <v>20542</v>
      </c>
      <c r="E12" s="8"/>
      <c r="G12" s="10"/>
      <c r="H12" s="10"/>
      <c r="I12" s="11"/>
      <c r="J12" s="10"/>
    </row>
    <row r="13" spans="1:11" x14ac:dyDescent="0.25">
      <c r="A13" s="5">
        <v>42738</v>
      </c>
      <c r="B13" s="6" t="s">
        <v>23</v>
      </c>
      <c r="C13" s="6" t="s">
        <v>10</v>
      </c>
      <c r="D13" s="7">
        <v>26558</v>
      </c>
      <c r="E13" s="8"/>
    </row>
    <row r="14" spans="1:11" x14ac:dyDescent="0.25">
      <c r="A14" s="5">
        <v>42739</v>
      </c>
      <c r="B14" s="6" t="s">
        <v>24</v>
      </c>
      <c r="C14" s="6" t="s">
        <v>20</v>
      </c>
      <c r="D14" s="7">
        <v>37797</v>
      </c>
      <c r="E14" s="8"/>
      <c r="G14" s="10"/>
      <c r="H14" s="10" t="str">
        <f>IFERROR(INDEX(B:B,MATCH(G14,E:E,0))," ")</f>
        <v xml:space="preserve"> </v>
      </c>
      <c r="I14" s="10"/>
    </row>
    <row r="15" spans="1:11" x14ac:dyDescent="0.25">
      <c r="A15" s="5">
        <v>42739</v>
      </c>
      <c r="B15" s="6" t="s">
        <v>5</v>
      </c>
      <c r="C15" s="6" t="s">
        <v>21</v>
      </c>
      <c r="D15" s="7">
        <v>39579</v>
      </c>
      <c r="E15" s="8"/>
      <c r="G15" s="10"/>
      <c r="H15" s="10" t="str">
        <f>IFERROR(INDEX(B:B,MATCH(G15,E:E,0))," ")</f>
        <v xml:space="preserve"> </v>
      </c>
      <c r="I15" s="10"/>
    </row>
    <row r="16" spans="1:11" x14ac:dyDescent="0.25">
      <c r="A16" s="5">
        <v>42739</v>
      </c>
      <c r="B16" s="6" t="s">
        <v>9</v>
      </c>
      <c r="C16" s="6" t="s">
        <v>14</v>
      </c>
      <c r="D16" s="7">
        <v>38916</v>
      </c>
      <c r="E16" s="8"/>
      <c r="G16" s="10"/>
      <c r="H16" s="10" t="str">
        <f>IFERROR(INDEX(B:B,MATCH(G16,E:E,0))," ")</f>
        <v xml:space="preserve"> </v>
      </c>
      <c r="I16" s="10"/>
    </row>
    <row r="17" spans="1:11" x14ac:dyDescent="0.25">
      <c r="A17" s="5">
        <v>42739</v>
      </c>
      <c r="B17" s="6" t="s">
        <v>13</v>
      </c>
      <c r="C17" s="6" t="s">
        <v>14</v>
      </c>
      <c r="D17" s="7">
        <v>12823</v>
      </c>
      <c r="E17" s="8"/>
      <c r="G17" s="10"/>
      <c r="H17" s="10" t="str">
        <f>IFERROR(INDEX(B:B,MATCH(G17,E:E,0))," ")</f>
        <v xml:space="preserve"> </v>
      </c>
      <c r="I17" s="10"/>
    </row>
    <row r="18" spans="1:11" x14ac:dyDescent="0.25">
      <c r="A18" s="5">
        <v>42740</v>
      </c>
      <c r="B18" s="6" t="s">
        <v>15</v>
      </c>
      <c r="C18" s="6" t="s">
        <v>14</v>
      </c>
      <c r="D18" s="7">
        <v>32774</v>
      </c>
      <c r="E18" s="8"/>
      <c r="G18" s="10" t="str">
        <f>IFERROR(LARGE(E:E,F18)," ")</f>
        <v xml:space="preserve"> </v>
      </c>
      <c r="H18" s="10" t="str">
        <f>IFERROR(INDEX(B:B,MATCH(G18,E:E,0))," ")</f>
        <v xml:space="preserve"> </v>
      </c>
      <c r="I18" s="10"/>
    </row>
    <row r="19" spans="1:11" x14ac:dyDescent="0.25">
      <c r="A19" s="5">
        <v>42740</v>
      </c>
      <c r="B19" s="6" t="s">
        <v>13</v>
      </c>
      <c r="C19" s="6" t="s">
        <v>10</v>
      </c>
      <c r="D19" s="7">
        <v>27128</v>
      </c>
      <c r="E19" s="8"/>
    </row>
    <row r="20" spans="1:11" x14ac:dyDescent="0.25">
      <c r="A20" s="5">
        <v>42740</v>
      </c>
      <c r="B20" s="6" t="s">
        <v>13</v>
      </c>
      <c r="C20" s="6" t="s">
        <v>14</v>
      </c>
      <c r="D20" s="7">
        <v>37678</v>
      </c>
      <c r="E20" s="8"/>
      <c r="G20" s="10"/>
    </row>
    <row r="21" spans="1:11" x14ac:dyDescent="0.25">
      <c r="A21" t="s">
        <v>25</v>
      </c>
      <c r="G21" s="10"/>
      <c r="K21" s="10"/>
    </row>
  </sheetData>
  <dataValidations count="1">
    <dataValidation type="list" allowBlank="1" showInputMessage="1" showErrorMessage="1" sqref="G1" xr:uid="{BB54CD6D-F9EC-4DFB-9178-BD0920D2BF4A}">
      <formula1>#REF!</formula1>
    </dataValidation>
  </dataValidations>
  <pageMargins left="0.74803149606299213" right="0.74803149606299213" top="0.98425196850393704" bottom="0.98425196850393704" header="0.51181102362204722" footer="0.51181102362204722"/>
  <pageSetup paperSize="9" orientation="portrait" horizontalDpi="120" verticalDpi="72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OGRETMEN</dc:creator>
  <cp:lastModifiedBy>OGRETMEN</cp:lastModifiedBy>
  <dcterms:created xsi:type="dcterms:W3CDTF">2025-11-19T11:57:29Z</dcterms:created>
  <dcterms:modified xsi:type="dcterms:W3CDTF">2025-11-19T11:59:26Z</dcterms:modified>
</cp:coreProperties>
</file>